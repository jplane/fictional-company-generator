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2026-10-15, Q3 2026, Recognized revenue.</t>
        </r>
      </text>
    </comment>
    <comment ref="B9" authorId="0">
      <text>
        <r>
          <rPr>
            <sz val="10"/>
            <rFont val="Arial"/>
            <family val="2"/>
          </rPr>
          <t xml:space="preserve">Source: AstroDig operating ledger, 2026-10-15, Q3 2026, Cost of goods sold.</t>
        </r>
      </text>
    </comment>
    <comment ref="B10" authorId="0">
      <text>
        <r>
          <rPr>
            <sz val="10"/>
            <rFont val="Arial"/>
            <family val="2"/>
          </rPr>
          <t xml:space="preserve">Source: AstroDig operating ledger, 2026-10-15, Q3 2026, Operating expenses.</t>
        </r>
      </text>
    </comment>
    <comment ref="B11" authorId="0">
      <text>
        <r>
          <rPr>
            <sz val="10"/>
            <rFont val="Arial"/>
            <family val="2"/>
          </rPr>
          <t xml:space="preserve">Source: AstroDig operating ledger, 2026-10-15, Q3 2026, Operating result.</t>
        </r>
      </text>
    </comment>
    <comment ref="B12" authorId="0">
      <text>
        <r>
          <rPr>
            <sz val="10"/>
            <rFont val="Arial"/>
            <family val="2"/>
          </rPr>
          <t xml:space="preserve">Source: AstroDig operating ledger, 2026-10-15, Q3 2026, Period-end headcount.</t>
        </r>
      </text>
    </comment>
    <comment ref="B13" authorId="0">
      <text>
        <r>
          <rPr>
            <sz val="10"/>
            <rFont val="Arial"/>
            <family val="2"/>
          </rPr>
          <t xml:space="preserve">Source: AstroDig operating ledger, 2026-10-15, Q3 2026, Engineering services.</t>
        </r>
      </text>
    </comment>
    <comment ref="B14" authorId="0">
      <text>
        <r>
          <rPr>
            <sz val="10"/>
            <rFont val="Arial"/>
            <family val="2"/>
          </rPr>
          <t xml:space="preserve">Source: AstroDig operating ledger, 2026-10-15, Q3 2026, Instrument development.</t>
        </r>
      </text>
    </comment>
    <comment ref="B15" authorId="0">
      <text>
        <r>
          <rPr>
            <sz val="10"/>
            <rFont val="Arial"/>
            <family val="2"/>
          </rPr>
          <t xml:space="preserve">Source: AstroDig operating ledger, 2026-10-15, Q3 2026, Mission analysis.</t>
        </r>
      </text>
    </comment>
    <comment ref="B16" authorId="0">
      <text>
        <r>
          <rPr>
            <sz val="10"/>
            <rFont val="Arial"/>
            <family val="2"/>
          </rPr>
          <t xml:space="preserve">Source: AstroDig operating ledger, 2026-10-15, Q3 2026, Research and development.</t>
        </r>
      </text>
    </comment>
    <comment ref="B17" authorId="0">
      <text>
        <r>
          <rPr>
            <sz val="10"/>
            <rFont val="Arial"/>
            <family val="2"/>
          </rPr>
          <t xml:space="preserve">Source: AstroDig operating ledger, 2026-10-15, Q3 2026, Program operations.</t>
        </r>
      </text>
    </comment>
    <comment ref="B18" authorId="0">
      <text>
        <r>
          <rPr>
            <sz val="10"/>
            <rFont val="Arial"/>
            <family val="2"/>
          </rPr>
          <t xml:space="preserve">Source: AstroDig operating ledger, 2026-10-15, Q3 2026, Corporate administration.</t>
        </r>
      </text>
    </comment>
    <comment ref="B19" authorId="0">
      <text>
        <r>
          <rPr>
            <sz val="10"/>
            <rFont val="Arial"/>
            <family val="2"/>
          </rPr>
          <t xml:space="preserve">Source: AstroDig operating ledger, 2026-10-15, Q3 2026, Contracted backlog.</t>
        </r>
      </text>
    </comment>
    <comment ref="B20" authorId="0">
      <text>
        <r>
          <rPr>
            <sz val="10"/>
            <rFont val="Arial"/>
            <family val="2"/>
          </rPr>
          <t xml:space="preserve">Source: AstroDig operating ledger, 2026-10-15, Q3 2026, Completed work packages.</t>
        </r>
      </text>
    </comment>
    <comment ref="B21" authorId="0">
      <text>
        <r>
          <rPr>
            <sz val="10"/>
            <rFont val="Arial"/>
            <family val="2"/>
          </rPr>
          <t xml:space="preserve">Source: AstroDig operating ledger, 2026-10-15, Q3 2026, Accepted reference runs.</t>
        </r>
      </text>
    </comment>
    <comment ref="B22" authorId="0">
      <text>
        <r>
          <rPr>
            <sz val="10"/>
            <rFont val="Arial"/>
            <family val="2"/>
          </rPr>
          <t xml:space="preserve">Source: AstroDig operating ledger, 2026-10-15, Q3 2026, Rejected reference runs.</t>
        </r>
      </text>
    </comment>
    <comment ref="E8" authorId="0">
      <text>
        <r>
          <rPr>
            <sz val="10"/>
            <rFont val="Arial"/>
            <family val="2"/>
          </rPr>
          <t xml:space="preserve">Source: AstroDig operating ledger, Q1 2026, Recognized revenue.</t>
        </r>
      </text>
    </comment>
    <comment ref="E9" authorId="0">
      <text>
        <r>
          <rPr>
            <sz val="10"/>
            <rFont val="Arial"/>
            <family val="2"/>
          </rPr>
          <t xml:space="preserve">Source: AstroDig operating ledger, Q1 2026, Cost of goods sold.</t>
        </r>
      </text>
    </comment>
    <comment ref="E10" authorId="0">
      <text>
        <r>
          <rPr>
            <sz val="10"/>
            <rFont val="Arial"/>
            <family val="2"/>
          </rPr>
          <t xml:space="preserve">Source: AstroDig operating ledger, Q1 2026, Operating expenses.</t>
        </r>
      </text>
    </comment>
    <comment ref="E11" authorId="0">
      <text>
        <r>
          <rPr>
            <sz val="10"/>
            <rFont val="Arial"/>
            <family val="2"/>
          </rPr>
          <t xml:space="preserve">Source: AstroDig operating ledger, Q1 2026, Operating result.</t>
        </r>
      </text>
    </comment>
    <comment ref="E12" authorId="0">
      <text>
        <r>
          <rPr>
            <sz val="10"/>
            <rFont val="Arial"/>
            <family val="2"/>
          </rPr>
          <t xml:space="preserve">Source: AstroDig operating ledger, Q1 2026, Period-end headcount.</t>
        </r>
      </text>
    </comment>
    <comment ref="E13" authorId="0">
      <text>
        <r>
          <rPr>
            <sz val="10"/>
            <rFont val="Arial"/>
            <family val="2"/>
          </rPr>
          <t xml:space="preserve">Source: AstroDig operating ledger, Q1 2026, Engineering services.</t>
        </r>
      </text>
    </comment>
    <comment ref="E14" authorId="0">
      <text>
        <r>
          <rPr>
            <sz val="10"/>
            <rFont val="Arial"/>
            <family val="2"/>
          </rPr>
          <t xml:space="preserve">Source: AstroDig operating ledger, Q1 2026, Instrument development.</t>
        </r>
      </text>
    </comment>
    <comment ref="E15" authorId="0">
      <text>
        <r>
          <rPr>
            <sz val="10"/>
            <rFont val="Arial"/>
            <family val="2"/>
          </rPr>
          <t xml:space="preserve">Source: AstroDig operating ledger, Q1 2026, Mission analysis.</t>
        </r>
      </text>
    </comment>
    <comment ref="E16" authorId="0">
      <text>
        <r>
          <rPr>
            <sz val="10"/>
            <rFont val="Arial"/>
            <family val="2"/>
          </rPr>
          <t xml:space="preserve">Source: AstroDig operating ledger, Q1 2026, Research and development.</t>
        </r>
      </text>
    </comment>
    <comment ref="E17" authorId="0">
      <text>
        <r>
          <rPr>
            <sz val="10"/>
            <rFont val="Arial"/>
            <family val="2"/>
          </rPr>
          <t xml:space="preserve">Source: AstroDig operating ledger, Q1 2026, Program operations.</t>
        </r>
      </text>
    </comment>
    <comment ref="E18" authorId="0">
      <text>
        <r>
          <rPr>
            <sz val="10"/>
            <rFont val="Arial"/>
            <family val="2"/>
          </rPr>
          <t xml:space="preserve">Source: AstroDig operating ledger, Q1 2026, Corporate administration.</t>
        </r>
      </text>
    </comment>
    <comment ref="E19" authorId="0">
      <text>
        <r>
          <rPr>
            <sz val="10"/>
            <rFont val="Arial"/>
            <family val="2"/>
          </rPr>
          <t xml:space="preserve">Source: AstroDig operating ledger, Q1 2026, Contracted backlog.</t>
        </r>
      </text>
    </comment>
    <comment ref="E20" authorId="0">
      <text>
        <r>
          <rPr>
            <sz val="10"/>
            <rFont val="Arial"/>
            <family val="2"/>
          </rPr>
          <t xml:space="preserve">Source: AstroDig operating ledger, Q1 2026, Completed work packages.</t>
        </r>
      </text>
    </comment>
    <comment ref="E21" authorId="0">
      <text>
        <r>
          <rPr>
            <sz val="10"/>
            <rFont val="Arial"/>
            <family val="2"/>
          </rPr>
          <t xml:space="preserve">Source: AstroDig operating ledger, Q1 2026, Accepted reference runs.</t>
        </r>
      </text>
    </comment>
    <comment ref="E22" authorId="0">
      <text>
        <r>
          <rPr>
            <sz val="10"/>
            <rFont val="Arial"/>
            <family val="2"/>
          </rPr>
          <t xml:space="preserve">Source: AstroDig operating ledger, Q1 2026, Rejected reference runs.</t>
        </r>
      </text>
    </comment>
    <comment ref="F8" authorId="0">
      <text>
        <r>
          <rPr>
            <sz val="10"/>
            <rFont val="Arial"/>
            <family val="2"/>
          </rPr>
          <t xml:space="preserve">Source: AstroDig operating ledger, Q2 2026, Recognized revenue.</t>
        </r>
      </text>
    </comment>
    <comment ref="F9" authorId="0">
      <text>
        <r>
          <rPr>
            <sz val="10"/>
            <rFont val="Arial"/>
            <family val="2"/>
          </rPr>
          <t xml:space="preserve">Source: AstroDig operating ledger, Q2 2026, Cost of goods sold.</t>
        </r>
      </text>
    </comment>
    <comment ref="F10" authorId="0">
      <text>
        <r>
          <rPr>
            <sz val="10"/>
            <rFont val="Arial"/>
            <family val="2"/>
          </rPr>
          <t xml:space="preserve">Source: AstroDig operating ledger, Q2 2026, Operating expenses.</t>
        </r>
      </text>
    </comment>
    <comment ref="F11" authorId="0">
      <text>
        <r>
          <rPr>
            <sz val="10"/>
            <rFont val="Arial"/>
            <family val="2"/>
          </rPr>
          <t xml:space="preserve">Source: AstroDig operating ledger, Q2 2026, Operating result.</t>
        </r>
      </text>
    </comment>
    <comment ref="F12" authorId="0">
      <text>
        <r>
          <rPr>
            <sz val="10"/>
            <rFont val="Arial"/>
            <family val="2"/>
          </rPr>
          <t xml:space="preserve">Source: AstroDig operating ledger, Q2 2026, Period-end headcount.</t>
        </r>
      </text>
    </comment>
    <comment ref="F13" authorId="0">
      <text>
        <r>
          <rPr>
            <sz val="10"/>
            <rFont val="Arial"/>
            <family val="2"/>
          </rPr>
          <t xml:space="preserve">Source: AstroDig operating ledger, Q2 2026, Engineering services.</t>
        </r>
      </text>
    </comment>
    <comment ref="F14" authorId="0">
      <text>
        <r>
          <rPr>
            <sz val="10"/>
            <rFont val="Arial"/>
            <family val="2"/>
          </rPr>
          <t xml:space="preserve">Source: AstroDig operating ledger, Q2 2026, Instrument development.</t>
        </r>
      </text>
    </comment>
    <comment ref="F15" authorId="0">
      <text>
        <r>
          <rPr>
            <sz val="10"/>
            <rFont val="Arial"/>
            <family val="2"/>
          </rPr>
          <t xml:space="preserve">Source: AstroDig operating ledger, Q2 2026, Mission analysis.</t>
        </r>
      </text>
    </comment>
    <comment ref="F16" authorId="0">
      <text>
        <r>
          <rPr>
            <sz val="10"/>
            <rFont val="Arial"/>
            <family val="2"/>
          </rPr>
          <t xml:space="preserve">Source: AstroDig operating ledger, Q2 2026, Research and development.</t>
        </r>
      </text>
    </comment>
    <comment ref="F17" authorId="0">
      <text>
        <r>
          <rPr>
            <sz val="10"/>
            <rFont val="Arial"/>
            <family val="2"/>
          </rPr>
          <t xml:space="preserve">Source: AstroDig operating ledger, Q2 2026, Program operations.</t>
        </r>
      </text>
    </comment>
    <comment ref="F18" authorId="0">
      <text>
        <r>
          <rPr>
            <sz val="10"/>
            <rFont val="Arial"/>
            <family val="2"/>
          </rPr>
          <t xml:space="preserve">Source: AstroDig operating ledger, Q2 2026, Corporate administration.</t>
        </r>
      </text>
    </comment>
    <comment ref="F19" authorId="0">
      <text>
        <r>
          <rPr>
            <sz val="10"/>
            <rFont val="Arial"/>
            <family val="2"/>
          </rPr>
          <t xml:space="preserve">Source: AstroDig operating ledger, Q2 2026, Contracted backlog.</t>
        </r>
      </text>
    </comment>
    <comment ref="F20" authorId="0">
      <text>
        <r>
          <rPr>
            <sz val="10"/>
            <rFont val="Arial"/>
            <family val="2"/>
          </rPr>
          <t xml:space="preserve">Source: AstroDig operating ledger, Q2 2026, Completed work packages.</t>
        </r>
      </text>
    </comment>
    <comment ref="F21" authorId="0">
      <text>
        <r>
          <rPr>
            <sz val="10"/>
            <rFont val="Arial"/>
            <family val="2"/>
          </rPr>
          <t xml:space="preserve">Source: AstroDig operating ledger, Q2 2026, Accepted reference runs.</t>
        </r>
      </text>
    </comment>
    <comment ref="F22" authorId="0">
      <text>
        <r>
          <rPr>
            <sz val="10"/>
            <rFont val="Arial"/>
            <family val="2"/>
          </rPr>
          <t xml:space="preserve">Source: AstroDig operating ledger, Q2 2026, Rejected reference runs.</t>
        </r>
      </text>
    </comment>
    <comment ref="G8" authorId="0">
      <text>
        <r>
          <rPr>
            <sz val="10"/>
            <rFont val="Arial"/>
            <family val="2"/>
          </rPr>
          <t xml:space="preserve">Source: AstroDig operating ledger, Q3 2026, Recognized revenue.</t>
        </r>
      </text>
    </comment>
    <comment ref="G9" authorId="0">
      <text>
        <r>
          <rPr>
            <sz val="10"/>
            <rFont val="Arial"/>
            <family val="2"/>
          </rPr>
          <t xml:space="preserve">Source: AstroDig operating ledger, Q3 2026, Cost of goods sold.</t>
        </r>
      </text>
    </comment>
    <comment ref="G10" authorId="0">
      <text>
        <r>
          <rPr>
            <sz val="10"/>
            <rFont val="Arial"/>
            <family val="2"/>
          </rPr>
          <t xml:space="preserve">Source: AstroDig operating ledger, Q3 2026, Operating expenses.</t>
        </r>
      </text>
    </comment>
    <comment ref="G11" authorId="0">
      <text>
        <r>
          <rPr>
            <sz val="10"/>
            <rFont val="Arial"/>
            <family val="2"/>
          </rPr>
          <t xml:space="preserve">Source: AstroDig operating ledger, Q3 2026, Operating result.</t>
        </r>
      </text>
    </comment>
    <comment ref="G12" authorId="0">
      <text>
        <r>
          <rPr>
            <sz val="10"/>
            <rFont val="Arial"/>
            <family val="2"/>
          </rPr>
          <t xml:space="preserve">Source: AstroDig operating ledger, Q3 2026, Period-end headcount.</t>
        </r>
      </text>
    </comment>
    <comment ref="G13" authorId="0">
      <text>
        <r>
          <rPr>
            <sz val="10"/>
            <rFont val="Arial"/>
            <family val="2"/>
          </rPr>
          <t xml:space="preserve">Source: AstroDig operating ledger, Q3 2026, Engineering services.</t>
        </r>
      </text>
    </comment>
    <comment ref="G14" authorId="0">
      <text>
        <r>
          <rPr>
            <sz val="10"/>
            <rFont val="Arial"/>
            <family val="2"/>
          </rPr>
          <t xml:space="preserve">Source: AstroDig operating ledger, Q3 2026, Instrument development.</t>
        </r>
      </text>
    </comment>
    <comment ref="G15" authorId="0">
      <text>
        <r>
          <rPr>
            <sz val="10"/>
            <rFont val="Arial"/>
            <family val="2"/>
          </rPr>
          <t xml:space="preserve">Source: AstroDig operating ledger, Q3 2026, Mission analysis.</t>
        </r>
      </text>
    </comment>
    <comment ref="G16" authorId="0">
      <text>
        <r>
          <rPr>
            <sz val="10"/>
            <rFont val="Arial"/>
            <family val="2"/>
          </rPr>
          <t xml:space="preserve">Source: AstroDig operating ledger, Q3 2026, Research and development.</t>
        </r>
      </text>
    </comment>
    <comment ref="G17" authorId="0">
      <text>
        <r>
          <rPr>
            <sz val="10"/>
            <rFont val="Arial"/>
            <family val="2"/>
          </rPr>
          <t xml:space="preserve">Source: AstroDig operating ledger, Q3 2026, Program operations.</t>
        </r>
      </text>
    </comment>
    <comment ref="G18" authorId="0">
      <text>
        <r>
          <rPr>
            <sz val="10"/>
            <rFont val="Arial"/>
            <family val="2"/>
          </rPr>
          <t xml:space="preserve">Source: AstroDig operating ledger, Q3 2026, Corporate administration.</t>
        </r>
      </text>
    </comment>
    <comment ref="G19" authorId="0">
      <text>
        <r>
          <rPr>
            <sz val="10"/>
            <rFont val="Arial"/>
            <family val="2"/>
          </rPr>
          <t xml:space="preserve">Source: AstroDig operating ledger, Q3 2026, Contracted backlog.</t>
        </r>
      </text>
    </comment>
    <comment ref="G20" authorId="0">
      <text>
        <r>
          <rPr>
            <sz val="10"/>
            <rFont val="Arial"/>
            <family val="2"/>
          </rPr>
          <t xml:space="preserve">Source: AstroDig operating ledger, Q3 2026, Completed work packages.</t>
        </r>
      </text>
    </comment>
    <comment ref="G21" authorId="0">
      <text>
        <r>
          <rPr>
            <sz val="10"/>
            <rFont val="Arial"/>
            <family val="2"/>
          </rPr>
          <t xml:space="preserve">Source: AstroDig operating ledger, Q3 2026, Accepted reference runs.</t>
        </r>
      </text>
    </comment>
    <comment ref="G22" authorId="0">
      <text>
        <r>
          <rPr>
            <sz val="10"/>
            <rFont val="Arial"/>
            <family val="2"/>
          </rPr>
          <t xml:space="preserve">Source: AstroDig operating ledger, Q3 2026, Rejected reference runs.</t>
        </r>
      </text>
    </comment>
  </commentList>
</comments>
</file>

<file path=xl/sharedStrings.xml><?xml version="1.0" encoding="utf-8"?>
<sst xmlns="http://schemas.openxmlformats.org/spreadsheetml/2006/main" count="157" uniqueCount="87">
  <si>
    <t xml:space="preserve">AstroDig LLC - Q3 2026 Service Economics and Development Spending</t>
  </si>
  <si>
    <t xml:space="preserve">Published 2026-10-15 | USD unless stated | Internal</t>
  </si>
  <si>
    <t xml:space="preserve">Q3 2026; period ended 2026-09-30.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</si>
  <si>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</si>
  <si>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</si>
  <si>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</si>
  <si>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</si>
  <si>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2026</t>
  </si>
  <si>
    <t xml:space="preserve">Q2 2026</t>
  </si>
  <si>
    <t xml:space="preserve">Q3 2026</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</si>
  <si>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</si>
  <si>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</si>
  <si>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</si>
  <si>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</si>
  <si>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</si>
  <si>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</si>
  <si>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</si>
  <si>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</si>
  <si>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</si>
  <si>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</si>
  <si>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</si>
  <si>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</si>
  <si>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</si>
  <si>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</si>
  <si>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</si>
  <si>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</si>
  <si>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</si>
  <si>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</si>
  <si>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</si>
  <si>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</si>
  <si>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</si>
  <si>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</si>
  <si>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</si>
  <si>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</si>
  <si>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</si>
  <si>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</si>
  <si>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</si>
  <si>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</si>
  <si>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</si>
  <si>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</si>
  <si>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</si>
  <si>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</si>
  <si>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</si>
  <si>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</si>
  <si>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</si>
  <si>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</si>
  <si>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</si>
  <si>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</si>
  <si>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</si>
  <si>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</si>
  <si>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</si>
  <si>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</si>
  <si>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</si>
  <si>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</si>
  <si>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</si>
  <si>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</si>
  <si>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</si>
  <si>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</si>
  <si>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</si>
  <si>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</si>
  <si>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</si>
  <si>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</si>
  <si>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</si>
  <si>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</si>
  <si>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</si>
  <si>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</si>
  <si>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</si>
  <si>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</si>
  <si>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</si>
  <si>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</si>
  <si>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</si>
  <si>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</si>
  <si>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</si>
  <si>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</si>
  <si>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</si>
  <si>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</si>
  <si>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</si>
  <si>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</si>
  <si>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</si>
  <si>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2026; period ended 2026-09-30. Revenue $15,470,000; COGS $5,878,600; opex $12,853,100; operating result $-3,261,700.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</si>
  <si>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</si>
  <si>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</si>
  <si>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</si>
  <si>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</si>
  <si>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</si>
  <si>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</si>
  <si>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Retain the 2032 goal while making each intermediate commitment conditional. Principal risk: funding and flight dependencies. Mining has not begun and no mission approval is represented.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</si>
</sst>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9591400</c:v>
                </c:pt>
                <c:pt idx="1">
                  <c:v>4331600</c:v>
                </c:pt>
                <c:pt idx="2">
                  <c:v>1547000</c:v>
                </c:pt>
              </c:numCache>
            </c:numRef>
          </c:val>
        </c:ser>
        <c:gapWidth val="150"/>
        <c:overlap val="0"/>
        <c:axId val="4991750"/>
        <c:axId val="90931447"/>
      </c:barChart>
      <c:catAx>
        <c:axId val="49917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0931447"/>
        <c:crosses val="autoZero"/>
        <c:auto val="1"/>
        <c:lblAlgn val="ctr"/>
        <c:lblOffset val="100"/>
        <c:noMultiLvlLbl val="0"/>
      </c:catAx>
      <c:valAx>
        <c:axId val="90931447"/>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991750"/>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15470000</c:v>
                </c:pt>
                <c:pt idx="1">
                  <c:v>13685000</c:v>
                </c:pt>
              </c:numCache>
            </c:numRef>
          </c:val>
        </c:ser>
        <c:gapWidth val="150"/>
        <c:overlap val="0"/>
        <c:axId val="27971927"/>
        <c:axId val="13914016"/>
      </c:barChart>
      <c:catAx>
        <c:axId val="2797192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914016"/>
        <c:crosses val="autoZero"/>
        <c:auto val="1"/>
        <c:lblAlgn val="ctr"/>
        <c:lblOffset val="100"/>
        <c:noMultiLvlLbl val="0"/>
      </c:catAx>
      <c:valAx>
        <c:axId val="13914016"/>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797192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15470000</v>
      </c>
      <c r="C8" s="7" t="s">
        <v>11</v>
      </c>
      <c r="D8" s="5" t="s">
        <v>10</v>
      </c>
      <c r="E8" s="6" t="n">
        <v>11900000</v>
      </c>
      <c r="F8" s="6" t="n">
        <v>13685000</v>
      </c>
      <c r="G8" s="6" t="n">
        <v>15470000</v>
      </c>
    </row>
    <row r="9" customFormat="false" ht="15" hidden="false" customHeight="false" outlineLevel="0" collapsed="false">
      <c r="A9" s="5" t="s">
        <v>12</v>
      </c>
      <c r="B9" s="6" t="n">
        <v>5878600</v>
      </c>
      <c r="C9" s="7" t="s">
        <v>11</v>
      </c>
      <c r="D9" s="5" t="s">
        <v>12</v>
      </c>
      <c r="E9" s="6" t="n">
        <v>4522000</v>
      </c>
      <c r="F9" s="6" t="n">
        <v>5200300</v>
      </c>
      <c r="G9" s="6" t="n">
        <v>5878600</v>
      </c>
    </row>
    <row r="10" customFormat="false" ht="15" hidden="false" customHeight="false" outlineLevel="0" collapsed="false">
      <c r="A10" s="5" t="s">
        <v>13</v>
      </c>
      <c r="B10" s="6" t="n">
        <v>12853100</v>
      </c>
      <c r="C10" s="7" t="s">
        <v>11</v>
      </c>
      <c r="D10" s="5" t="s">
        <v>13</v>
      </c>
      <c r="E10" s="6" t="n">
        <v>9887000</v>
      </c>
      <c r="F10" s="6" t="n">
        <v>11370050</v>
      </c>
      <c r="G10" s="6" t="n">
        <v>12853100</v>
      </c>
    </row>
    <row r="11" customFormat="false" ht="15" hidden="false" customHeight="false" outlineLevel="0" collapsed="false">
      <c r="A11" s="5" t="s">
        <v>14</v>
      </c>
      <c r="B11" s="6" t="n">
        <v>-3261700</v>
      </c>
      <c r="C11" s="7" t="s">
        <v>11</v>
      </c>
      <c r="D11" s="5" t="s">
        <v>14</v>
      </c>
      <c r="E11" s="6" t="n">
        <v>-2509000</v>
      </c>
      <c r="F11" s="6" t="n">
        <v>-2885350</v>
      </c>
      <c r="G11" s="6" t="n">
        <v>-3261700</v>
      </c>
    </row>
    <row r="12" customFormat="false" ht="15" hidden="false" customHeight="false" outlineLevel="0" collapsed="false">
      <c r="A12" s="5" t="s">
        <v>15</v>
      </c>
      <c r="B12" s="8" t="n">
        <v>225</v>
      </c>
      <c r="C12" s="7" t="s">
        <v>16</v>
      </c>
      <c r="D12" s="5" t="s">
        <v>15</v>
      </c>
      <c r="E12" s="8" t="n">
        <v>199</v>
      </c>
      <c r="F12" s="8" t="n">
        <v>212</v>
      </c>
      <c r="G12" s="8" t="n">
        <v>225</v>
      </c>
    </row>
    <row r="13" customFormat="false" ht="15" hidden="false" customHeight="false" outlineLevel="0" collapsed="false">
      <c r="A13" s="5" t="s">
        <v>17</v>
      </c>
      <c r="B13" s="6" t="n">
        <v>9591400</v>
      </c>
      <c r="C13" s="7" t="s">
        <v>11</v>
      </c>
      <c r="D13" s="5" t="s">
        <v>17</v>
      </c>
      <c r="E13" s="6" t="n">
        <v>7378000</v>
      </c>
      <c r="F13" s="6" t="n">
        <v>8484700</v>
      </c>
      <c r="G13" s="6" t="n">
        <v>9591400</v>
      </c>
    </row>
    <row r="14" customFormat="false" ht="15" hidden="false" customHeight="false" outlineLevel="0" collapsed="false">
      <c r="A14" s="5" t="s">
        <v>18</v>
      </c>
      <c r="B14" s="6" t="n">
        <v>4331600</v>
      </c>
      <c r="C14" s="7" t="s">
        <v>11</v>
      </c>
      <c r="D14" s="5" t="s">
        <v>18</v>
      </c>
      <c r="E14" s="6" t="n">
        <v>3332000</v>
      </c>
      <c r="F14" s="6" t="n">
        <v>3831800</v>
      </c>
      <c r="G14" s="6" t="n">
        <v>4331600</v>
      </c>
    </row>
    <row r="15" customFormat="false" ht="15" hidden="false" customHeight="false" outlineLevel="0" collapsed="false">
      <c r="A15" s="5" t="s">
        <v>19</v>
      </c>
      <c r="B15" s="6" t="n">
        <v>1547000</v>
      </c>
      <c r="C15" s="7" t="s">
        <v>11</v>
      </c>
      <c r="D15" s="5" t="s">
        <v>19</v>
      </c>
      <c r="E15" s="6" t="n">
        <v>1190000</v>
      </c>
      <c r="F15" s="6" t="n">
        <v>1368500</v>
      </c>
      <c r="G15" s="6" t="n">
        <v>1547000</v>
      </c>
    </row>
    <row r="16" customFormat="false" ht="15" hidden="false" customHeight="false" outlineLevel="0" collapsed="false">
      <c r="A16" s="5" t="s">
        <v>20</v>
      </c>
      <c r="B16" s="6" t="n">
        <v>9254232</v>
      </c>
      <c r="C16" s="7" t="s">
        <v>11</v>
      </c>
      <c r="D16" s="5" t="s">
        <v>20</v>
      </c>
      <c r="E16" s="6" t="n">
        <v>7118640</v>
      </c>
      <c r="F16" s="6" t="n">
        <v>8186436</v>
      </c>
      <c r="G16" s="6" t="n">
        <v>9254232</v>
      </c>
    </row>
    <row r="17" customFormat="false" ht="15" hidden="false" customHeight="false" outlineLevel="0" collapsed="false">
      <c r="A17" s="5" t="s">
        <v>21</v>
      </c>
      <c r="B17" s="6" t="n">
        <v>2313558</v>
      </c>
      <c r="C17" s="7" t="s">
        <v>11</v>
      </c>
      <c r="D17" s="5" t="s">
        <v>21</v>
      </c>
      <c r="E17" s="6" t="n">
        <v>1779660</v>
      </c>
      <c r="F17" s="6" t="n">
        <v>2046609</v>
      </c>
      <c r="G17" s="6" t="n">
        <v>2313558</v>
      </c>
    </row>
    <row r="18" customFormat="false" ht="15" hidden="false" customHeight="false" outlineLevel="0" collapsed="false">
      <c r="A18" s="5" t="s">
        <v>22</v>
      </c>
      <c r="B18" s="6" t="n">
        <v>1285310</v>
      </c>
      <c r="C18" s="7" t="s">
        <v>11</v>
      </c>
      <c r="D18" s="5" t="s">
        <v>22</v>
      </c>
      <c r="E18" s="6" t="n">
        <v>988700</v>
      </c>
      <c r="F18" s="6" t="n">
        <v>1137005</v>
      </c>
      <c r="G18" s="6" t="n">
        <v>1285310</v>
      </c>
    </row>
    <row r="19" customFormat="false" ht="15" hidden="false" customHeight="false" outlineLevel="0" collapsed="false">
      <c r="A19" s="5" t="s">
        <v>23</v>
      </c>
      <c r="B19" s="6" t="n">
        <v>123760000</v>
      </c>
      <c r="C19" s="7" t="s">
        <v>11</v>
      </c>
      <c r="D19" s="5" t="s">
        <v>23</v>
      </c>
      <c r="E19" s="6" t="n">
        <v>71400000</v>
      </c>
      <c r="F19" s="6" t="n">
        <v>95795000</v>
      </c>
      <c r="G19" s="6" t="n">
        <v>123760000</v>
      </c>
    </row>
    <row r="20" customFormat="false" ht="15" hidden="false" customHeight="false" outlineLevel="0" collapsed="false">
      <c r="A20" s="5" t="s">
        <v>24</v>
      </c>
      <c r="B20" s="8" t="n">
        <v>48</v>
      </c>
      <c r="C20" s="7" t="s">
        <v>16</v>
      </c>
      <c r="D20" s="5" t="s">
        <v>24</v>
      </c>
      <c r="E20" s="8" t="n">
        <v>46</v>
      </c>
      <c r="F20" s="8" t="n">
        <v>47</v>
      </c>
      <c r="G20" s="8" t="n">
        <v>48</v>
      </c>
    </row>
    <row r="21" customFormat="false" ht="15" hidden="false" customHeight="false" outlineLevel="0" collapsed="false">
      <c r="A21" s="5" t="s">
        <v>25</v>
      </c>
      <c r="B21" s="8" t="n">
        <v>112</v>
      </c>
      <c r="C21" s="7" t="s">
        <v>16</v>
      </c>
      <c r="D21" s="5" t="s">
        <v>25</v>
      </c>
      <c r="E21" s="8" t="n">
        <v>106</v>
      </c>
      <c r="F21" s="8" t="n">
        <v>109</v>
      </c>
      <c r="G21" s="8" t="n">
        <v>112</v>
      </c>
    </row>
    <row r="22" customFormat="false" ht="15" hidden="false" customHeight="false" outlineLevel="0" collapsed="false">
      <c r="A22" s="5" t="s">
        <v>26</v>
      </c>
      <c r="B22" s="8" t="n">
        <v>3</v>
      </c>
      <c r="C22" s="7" t="s">
        <v>16</v>
      </c>
      <c r="D22" s="5" t="s">
        <v>26</v>
      </c>
      <c r="E22" s="8" t="n">
        <v>6</v>
      </c>
      <c r="F22" s="8" t="n">
        <v>2</v>
      </c>
      <c r="G22" s="8" t="n">
        <v>3</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15470000</v>
      </c>
    </row>
    <row r="9" customFormat="false" ht="15" hidden="false" customHeight="false" outlineLevel="0" collapsed="false">
      <c r="A9" s="5" t="s">
        <v>12</v>
      </c>
      <c r="B9" s="9" t="n">
        <f aca="false">'Source actuals'!B9</f>
        <v>5878600</v>
      </c>
    </row>
    <row r="10" customFormat="false" ht="15" hidden="false" customHeight="false" outlineLevel="0" collapsed="false">
      <c r="A10" s="5" t="s">
        <v>13</v>
      </c>
      <c r="B10" s="9" t="n">
        <f aca="false">'Source actuals'!B10</f>
        <v>12853100</v>
      </c>
    </row>
    <row r="11" customFormat="false" ht="15" hidden="false" customHeight="false" outlineLevel="0" collapsed="false">
      <c r="A11" s="5" t="s">
        <v>33</v>
      </c>
      <c r="B11" s="10" t="n">
        <f aca="false">B8-B9-B10</f>
        <v>-3261700</v>
      </c>
    </row>
    <row r="12" customFormat="false" ht="15" hidden="false" customHeight="false" outlineLevel="0" collapsed="false">
      <c r="A12" s="5" t="s">
        <v>34</v>
      </c>
      <c r="B12" s="9" t="n">
        <f aca="false">'Source actuals'!B11</f>
        <v>-3261700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9591400</v>
      </c>
      <c r="C8" s="11" t="n">
        <f aca="false">IF(B11=0,0,B8/B11)</f>
        <v>0.62</v>
      </c>
    </row>
    <row r="9" customFormat="false" ht="15" hidden="false" customHeight="false" outlineLevel="0" collapsed="false">
      <c r="A9" s="5" t="s">
        <v>18</v>
      </c>
      <c r="B9" s="9" t="n">
        <f aca="false">'Source actuals'!B14</f>
        <v>4331600</v>
      </c>
      <c r="C9" s="11" t="n">
        <f aca="false">IF(B11=0,0,B9/B11)</f>
        <v>0.28</v>
      </c>
    </row>
    <row r="10" customFormat="false" ht="15" hidden="false" customHeight="false" outlineLevel="0" collapsed="false">
      <c r="A10" s="5" t="s">
        <v>19</v>
      </c>
      <c r="B10" s="9" t="n">
        <f aca="false">'Source actuals'!B15</f>
        <v>1547000</v>
      </c>
      <c r="C10" s="11" t="n">
        <f aca="false">IF(B11=0,0,B10/B11)</f>
        <v>0.1</v>
      </c>
    </row>
    <row r="11" customFormat="false" ht="15" hidden="false" customHeight="false" outlineLevel="0" collapsed="false">
      <c r="A11" s="5" t="s">
        <v>40</v>
      </c>
      <c r="B11" s="10" t="n">
        <f aca="false">SUM(B8:B10)</f>
        <v>15470000</v>
      </c>
    </row>
    <row r="12" customFormat="false" ht="15" hidden="false" customHeight="false" outlineLevel="0" collapsed="false">
      <c r="A12" s="5" t="s">
        <v>10</v>
      </c>
      <c r="B12" s="9" t="n">
        <f aca="false">'Source actuals'!B8</f>
        <v>15470000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9254232</v>
      </c>
    </row>
    <row r="9" customFormat="false" ht="15" hidden="false" customHeight="false" outlineLevel="0" collapsed="false">
      <c r="A9" s="5" t="s">
        <v>46</v>
      </c>
      <c r="B9" s="12" t="n">
        <f aca="false">'Source actuals'!B16/'Source actuals'!B8</f>
        <v>0.598205042016807</v>
      </c>
    </row>
    <row r="10" customFormat="false" ht="15" hidden="false" customHeight="false" outlineLevel="0" collapsed="false">
      <c r="A10" s="5" t="s">
        <v>47</v>
      </c>
      <c r="B10" s="9" t="n">
        <f aca="false">'Source actuals'!B16/'Source actuals'!B12</f>
        <v>41129.92</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2313558</v>
      </c>
    </row>
    <row r="13" customFormat="false" ht="15" hidden="false" customHeight="false" outlineLevel="0" collapsed="false">
      <c r="A13" s="5" t="s">
        <v>49</v>
      </c>
      <c r="B13" s="9" t="n">
        <f aca="false">'Source actuals'!B18</f>
        <v>1285310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225</v>
      </c>
    </row>
    <row r="9" customFormat="false" ht="15" hidden="false" customHeight="false" outlineLevel="0" collapsed="false">
      <c r="A9" s="5" t="s">
        <v>24</v>
      </c>
      <c r="B9" s="13" t="n">
        <f aca="false">'Source actuals'!B20</f>
        <v>48</v>
      </c>
    </row>
    <row r="10" customFormat="false" ht="15" hidden="false" customHeight="false" outlineLevel="0" collapsed="false">
      <c r="A10" s="5" t="s">
        <v>54</v>
      </c>
      <c r="B10" s="14" t="n">
        <f aca="false">B9/B8</f>
        <v>0.213333333333333</v>
      </c>
    </row>
    <row r="11" customFormat="false" ht="15" hidden="false" customHeight="false" outlineLevel="0" collapsed="false">
      <c r="A11" s="5" t="s">
        <v>25</v>
      </c>
      <c r="B11" s="13" t="n">
        <f aca="false">'Source actuals'!B21</f>
        <v>112</v>
      </c>
    </row>
    <row r="12" customFormat="false" ht="15" hidden="false" customHeight="false" outlineLevel="0" collapsed="false">
      <c r="A12" s="5" t="s">
        <v>26</v>
      </c>
      <c r="B12" s="13" t="n">
        <f aca="false">'Source actuals'!B22</f>
        <v>3</v>
      </c>
    </row>
    <row r="13" customFormat="false" ht="15" hidden="false" customHeight="false" outlineLevel="0" collapsed="false">
      <c r="A13" s="5" t="s">
        <v>55</v>
      </c>
      <c r="B13" s="15" t="n">
        <f aca="false">SUM(B11:B12)</f>
        <v>115</v>
      </c>
    </row>
    <row r="14" customFormat="false" ht="15" hidden="false" customHeight="false" outlineLevel="0" collapsed="false">
      <c r="A14" s="5" t="s">
        <v>56</v>
      </c>
      <c r="B14" s="11" t="n">
        <f aca="false">B11/B13</f>
        <v>0.973913043478261</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15470000</v>
      </c>
    </row>
    <row r="9" customFormat="false" ht="15" hidden="false" customHeight="false" outlineLevel="0" collapsed="false">
      <c r="A9" s="5" t="s">
        <v>62</v>
      </c>
      <c r="B9" s="9" t="n">
        <f aca="false">'Source actuals'!F8</f>
        <v>13685000</v>
      </c>
    </row>
    <row r="10" customFormat="false" ht="15" hidden="false" customHeight="false" outlineLevel="0" collapsed="false">
      <c r="A10" s="5" t="s">
        <v>63</v>
      </c>
      <c r="B10" s="10" t="n">
        <f aca="false">B8-B9</f>
        <v>1785000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12853100</v>
      </c>
    </row>
    <row r="13" customFormat="false" ht="15" hidden="false" customHeight="false" outlineLevel="0" collapsed="false">
      <c r="A13" s="5" t="s">
        <v>66</v>
      </c>
      <c r="B13" s="9" t="n">
        <f aca="false">'Source actuals'!F10</f>
        <v>11370050</v>
      </c>
    </row>
    <row r="14" customFormat="false" ht="15" hidden="false" customHeight="false" outlineLevel="0" collapsed="false">
      <c r="A14" s="5" t="s">
        <v>67</v>
      </c>
      <c r="B14" s="9" t="n">
        <f aca="false">B10-('Source actuals'!G9-'Source actuals'!F9)-(B12-B13)</f>
        <v>-376350</v>
      </c>
    </row>
    <row r="15" customFormat="false" ht="15" hidden="false" customHeight="false" outlineLevel="0" collapsed="false">
      <c r="A15" s="5" t="s">
        <v>68</v>
      </c>
      <c r="B15" s="9" t="n">
        <f aca="false">'Source actuals'!G11-'Source actuals'!F11</f>
        <v>-376350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123760000</v>
      </c>
    </row>
    <row r="9" customFormat="false" ht="15" hidden="false" customHeight="false" outlineLevel="0" collapsed="false">
      <c r="A9" s="5" t="s">
        <v>73</v>
      </c>
      <c r="B9" s="9" t="n">
        <f aca="false">'Source actuals'!B8</f>
        <v>15470000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225</v>
      </c>
    </row>
    <row r="12" customFormat="false" ht="15" hidden="false" customHeight="false" outlineLevel="0" collapsed="false">
      <c r="A12" s="5" t="s">
        <v>75</v>
      </c>
      <c r="B12" s="10" t="n">
        <f aca="false">B8/B11</f>
        <v>550044.444444445</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2026-10-08T21:43:45Z</dcterms:created>
  <dc:creator>AstroDig LLC</dc:creator>
  <dc:description/>
  <dc:language>en-US</dc:language>
  <cp:lastModifiedBy/>
  <dcterms:modified xsi:type="dcterms:W3CDTF">2026-10-08T21:43:45Z</dcterms:modified>
  <cp:revision>0</cp:revision>
  <dc:subject>USD operating performance</dc:subject>
  <dc:title>AstroDig LLC - Q3 2026 Service Economics and Development Spending</dc:title>
</cp:coreProperties>
</file>

<file path=docProps/custom.xml><?xml version="1.0" encoding="utf-8"?>
<Properties xmlns="http://schemas.openxmlformats.org/officeDocument/2006/custom-properties" xmlns:vt="http://schemas.openxmlformats.org/officeDocument/2006/docPropsVTypes"/>
</file>