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Margins" sheetId="3" state="visible" r:id="rId5"/>
    <sheet name="Revenue mix" sheetId="4" state="visible" r:id="rId6"/>
    <sheet name="Cost drivers" sheetId="5" state="visible" r:id="rId7"/>
    <sheet name="Productivity" sheetId="6" state="visible" r:id="rId8"/>
    <sheet name="Trends and commitments" sheetId="7" state="visible" r:id="rId9"/>
    <sheet name="Methodology" sheetId="8" state="visible" r:id="rId10"/>
  </sheets>
  <definedNames>
    <definedName function="false" hidden="false" localSheetId="4" name="_xlnm.Print_Area" vbProcedure="false">'Cost drivers'!$A$1:$H$36</definedName>
    <definedName function="false" hidden="false" localSheetId="1" name="_xlnm.Print_Area" vbProcedure="false">'Income bridge'!$A$1:$H$36</definedName>
    <definedName function="false" hidden="false" localSheetId="2" name="_xlnm.Print_Area" vbProcedure="false">Margins!$A$1:$H$36</definedName>
    <definedName function="false" hidden="false" localSheetId="7" name="_xlnm.Print_Area" vbProcedure="false">Methodology!$A$1:$H$29</definedName>
    <definedName function="false" hidden="false" localSheetId="5" name="_xlnm.Print_Area" vbProcedure="false">Productivity!$A$1:$H$36</definedName>
    <definedName function="false" hidden="false" localSheetId="3" name="_xlnm.Print_Area" vbProcedure="false">'Revenue mix'!$A$1:$H$36</definedName>
    <definedName function="false" hidden="false" localSheetId="0" name="_xlnm.Print_Area" vbProcedure="false">'Source actuals'!$A$1:$H$36</definedName>
    <definedName function="false" hidden="false" localSheetId="6" name="_xlnm.Print_Area" vbProcedure="false">'Trends and commitments'!$A$1:$H$36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2026-07-15, Q2 2026, Recognized revenue.</t>
        </r>
      </text>
    </comment>
    <comment ref="B9" authorId="0">
      <text>
        <r>
          <rPr>
            <sz val="10"/>
            <rFont val="Arial"/>
            <family val="2"/>
          </rPr>
          <t xml:space="preserve">Source: AstroDig operating ledger, 2026-07-15, Q2 2026, Cost of goods sold.</t>
        </r>
      </text>
    </comment>
    <comment ref="B10" authorId="0">
      <text>
        <r>
          <rPr>
            <sz val="10"/>
            <rFont val="Arial"/>
            <family val="2"/>
          </rPr>
          <t xml:space="preserve">Source: AstroDig operating ledger, 2026-07-15, Q2 2026, Operating expenses.</t>
        </r>
      </text>
    </comment>
    <comment ref="B11" authorId="0">
      <text>
        <r>
          <rPr>
            <sz val="10"/>
            <rFont val="Arial"/>
            <family val="2"/>
          </rPr>
          <t xml:space="preserve">Source: AstroDig operating ledger, 2026-07-15, Q2 2026, Operating result.</t>
        </r>
      </text>
    </comment>
    <comment ref="B12" authorId="0">
      <text>
        <r>
          <rPr>
            <sz val="10"/>
            <rFont val="Arial"/>
            <family val="2"/>
          </rPr>
          <t xml:space="preserve">Source: AstroDig operating ledger, 2026-07-15, Q2 2026, Period-end headcount.</t>
        </r>
      </text>
    </comment>
    <comment ref="B13" authorId="0">
      <text>
        <r>
          <rPr>
            <sz val="10"/>
            <rFont val="Arial"/>
            <family val="2"/>
          </rPr>
          <t xml:space="preserve">Source: AstroDig operating ledger, 2026-07-15, Q2 2026, Engineering services.</t>
        </r>
      </text>
    </comment>
    <comment ref="B14" authorId="0">
      <text>
        <r>
          <rPr>
            <sz val="10"/>
            <rFont val="Arial"/>
            <family val="2"/>
          </rPr>
          <t xml:space="preserve">Source: AstroDig operating ledger, 2026-07-15, Q2 2026, Instrument development.</t>
        </r>
      </text>
    </comment>
    <comment ref="B15" authorId="0">
      <text>
        <r>
          <rPr>
            <sz val="10"/>
            <rFont val="Arial"/>
            <family val="2"/>
          </rPr>
          <t xml:space="preserve">Source: AstroDig operating ledger, 2026-07-15, Q2 2026, Mission analysis.</t>
        </r>
      </text>
    </comment>
    <comment ref="B16" authorId="0">
      <text>
        <r>
          <rPr>
            <sz val="10"/>
            <rFont val="Arial"/>
            <family val="2"/>
          </rPr>
          <t xml:space="preserve">Source: AstroDig operating ledger, 2026-07-15, Q2 2026, Research and development.</t>
        </r>
      </text>
    </comment>
    <comment ref="B17" authorId="0">
      <text>
        <r>
          <rPr>
            <sz val="10"/>
            <rFont val="Arial"/>
            <family val="2"/>
          </rPr>
          <t xml:space="preserve">Source: AstroDig operating ledger, 2026-07-15, Q2 2026, Program operations.</t>
        </r>
      </text>
    </comment>
    <comment ref="B18" authorId="0">
      <text>
        <r>
          <rPr>
            <sz val="10"/>
            <rFont val="Arial"/>
            <family val="2"/>
          </rPr>
          <t xml:space="preserve">Source: AstroDig operating ledger, 2026-07-15, Q2 2026, Corporate administration.</t>
        </r>
      </text>
    </comment>
    <comment ref="B19" authorId="0">
      <text>
        <r>
          <rPr>
            <sz val="10"/>
            <rFont val="Arial"/>
            <family val="2"/>
          </rPr>
          <t xml:space="preserve">Source: AstroDig operating ledger, 2026-07-15, Q2 2026, Contracted backlog.</t>
        </r>
      </text>
    </comment>
    <comment ref="B20" authorId="0">
      <text>
        <r>
          <rPr>
            <sz val="10"/>
            <rFont val="Arial"/>
            <family val="2"/>
          </rPr>
          <t xml:space="preserve">Source: AstroDig operating ledger, 2026-07-15, Q2 2026, Completed work packages.</t>
        </r>
      </text>
    </comment>
    <comment ref="B21" authorId="0">
      <text>
        <r>
          <rPr>
            <sz val="10"/>
            <rFont val="Arial"/>
            <family val="2"/>
          </rPr>
          <t xml:space="preserve">Source: AstroDig operating ledger, 2026-07-15, Q2 2026, Accepted reference runs.</t>
        </r>
      </text>
    </comment>
    <comment ref="B22" authorId="0">
      <text>
        <r>
          <rPr>
            <sz val="10"/>
            <rFont val="Arial"/>
            <family val="2"/>
          </rPr>
          <t xml:space="preserve">Source: AstroDig operating ledger, 2026-07-15, Q2 2026, Rejected reference runs.</t>
        </r>
      </text>
    </comment>
    <comment ref="E8" authorId="0">
      <text>
        <r>
          <rPr>
            <sz val="10"/>
            <rFont val="Arial"/>
            <family val="2"/>
          </rPr>
          <t xml:space="preserve">Source: AstroDig operating ledger, Q1 2026, Recognized revenue.</t>
        </r>
      </text>
    </comment>
    <comment ref="E9" authorId="0">
      <text>
        <r>
          <rPr>
            <sz val="10"/>
            <rFont val="Arial"/>
            <family val="2"/>
          </rPr>
          <t xml:space="preserve">Source: AstroDig operating ledger, Q1 2026, Cost of goods sold.</t>
        </r>
      </text>
    </comment>
    <comment ref="E10" authorId="0">
      <text>
        <r>
          <rPr>
            <sz val="10"/>
            <rFont val="Arial"/>
            <family val="2"/>
          </rPr>
          <t xml:space="preserve">Source: AstroDig operating ledger, Q1 2026, Operating expenses.</t>
        </r>
      </text>
    </comment>
    <comment ref="E11" authorId="0">
      <text>
        <r>
          <rPr>
            <sz val="10"/>
            <rFont val="Arial"/>
            <family val="2"/>
          </rPr>
          <t xml:space="preserve">Source: AstroDig operating ledger, Q1 2026, Operating result.</t>
        </r>
      </text>
    </comment>
    <comment ref="E12" authorId="0">
      <text>
        <r>
          <rPr>
            <sz val="10"/>
            <rFont val="Arial"/>
            <family val="2"/>
          </rPr>
          <t xml:space="preserve">Source: AstroDig operating ledger, Q1 2026, Period-end headcount.</t>
        </r>
      </text>
    </comment>
    <comment ref="E13" authorId="0">
      <text>
        <r>
          <rPr>
            <sz val="10"/>
            <rFont val="Arial"/>
            <family val="2"/>
          </rPr>
          <t xml:space="preserve">Source: AstroDig operating ledger, Q1 2026, Engineering services.</t>
        </r>
      </text>
    </comment>
    <comment ref="E14" authorId="0">
      <text>
        <r>
          <rPr>
            <sz val="10"/>
            <rFont val="Arial"/>
            <family val="2"/>
          </rPr>
          <t xml:space="preserve">Source: AstroDig operating ledger, Q1 2026, Instrument development.</t>
        </r>
      </text>
    </comment>
    <comment ref="E15" authorId="0">
      <text>
        <r>
          <rPr>
            <sz val="10"/>
            <rFont val="Arial"/>
            <family val="2"/>
          </rPr>
          <t xml:space="preserve">Source: AstroDig operating ledger, Q1 2026, Mission analysis.</t>
        </r>
      </text>
    </comment>
    <comment ref="E16" authorId="0">
      <text>
        <r>
          <rPr>
            <sz val="10"/>
            <rFont val="Arial"/>
            <family val="2"/>
          </rPr>
          <t xml:space="preserve">Source: AstroDig operating ledger, Q1 2026, Research and development.</t>
        </r>
      </text>
    </comment>
    <comment ref="E17" authorId="0">
      <text>
        <r>
          <rPr>
            <sz val="10"/>
            <rFont val="Arial"/>
            <family val="2"/>
          </rPr>
          <t xml:space="preserve">Source: AstroDig operating ledger, Q1 2026, Program operations.</t>
        </r>
      </text>
    </comment>
    <comment ref="E18" authorId="0">
      <text>
        <r>
          <rPr>
            <sz val="10"/>
            <rFont val="Arial"/>
            <family val="2"/>
          </rPr>
          <t xml:space="preserve">Source: AstroDig operating ledger, Q1 2026, Corporate administration.</t>
        </r>
      </text>
    </comment>
    <comment ref="E19" authorId="0">
      <text>
        <r>
          <rPr>
            <sz val="10"/>
            <rFont val="Arial"/>
            <family val="2"/>
          </rPr>
          <t xml:space="preserve">Source: AstroDig operating ledger, Q1 2026, Contracted backlog.</t>
        </r>
      </text>
    </comment>
    <comment ref="E20" authorId="0">
      <text>
        <r>
          <rPr>
            <sz val="10"/>
            <rFont val="Arial"/>
            <family val="2"/>
          </rPr>
          <t xml:space="preserve">Source: AstroDig operating ledger, Q1 2026, Completed work packages.</t>
        </r>
      </text>
    </comment>
    <comment ref="E21" authorId="0">
      <text>
        <r>
          <rPr>
            <sz val="10"/>
            <rFont val="Arial"/>
            <family val="2"/>
          </rPr>
          <t xml:space="preserve">Source: AstroDig operating ledger, Q1 2026, Accepted reference runs.</t>
        </r>
      </text>
    </comment>
    <comment ref="E22" authorId="0">
      <text>
        <r>
          <rPr>
            <sz val="10"/>
            <rFont val="Arial"/>
            <family val="2"/>
          </rPr>
          <t xml:space="preserve">Source: AstroDig operating ledger, Q1 2026, Rejected reference runs.</t>
        </r>
      </text>
    </comment>
    <comment ref="F8" authorId="0">
      <text>
        <r>
          <rPr>
            <sz val="10"/>
            <rFont val="Arial"/>
            <family val="2"/>
          </rPr>
          <t xml:space="preserve">Source: AstroDig operating ledger, Q2 2026, Recognized revenue.</t>
        </r>
      </text>
    </comment>
    <comment ref="F9" authorId="0">
      <text>
        <r>
          <rPr>
            <sz val="10"/>
            <rFont val="Arial"/>
            <family val="2"/>
          </rPr>
          <t xml:space="preserve">Source: AstroDig operating ledger, Q2 2026, Cost of goods sold.</t>
        </r>
      </text>
    </comment>
    <comment ref="F10" authorId="0">
      <text>
        <r>
          <rPr>
            <sz val="10"/>
            <rFont val="Arial"/>
            <family val="2"/>
          </rPr>
          <t xml:space="preserve">Source: AstroDig operating ledger, Q2 2026, Operating expenses.</t>
        </r>
      </text>
    </comment>
    <comment ref="F11" authorId="0">
      <text>
        <r>
          <rPr>
            <sz val="10"/>
            <rFont val="Arial"/>
            <family val="2"/>
          </rPr>
          <t xml:space="preserve">Source: AstroDig operating ledger, Q2 2026, Operating result.</t>
        </r>
      </text>
    </comment>
    <comment ref="F12" authorId="0">
      <text>
        <r>
          <rPr>
            <sz val="10"/>
            <rFont val="Arial"/>
            <family val="2"/>
          </rPr>
          <t xml:space="preserve">Source: AstroDig operating ledger, Q2 2026, Period-end headcount.</t>
        </r>
      </text>
    </comment>
    <comment ref="F13" authorId="0">
      <text>
        <r>
          <rPr>
            <sz val="10"/>
            <rFont val="Arial"/>
            <family val="2"/>
          </rPr>
          <t xml:space="preserve">Source: AstroDig operating ledger, Q2 2026, Engineering services.</t>
        </r>
      </text>
    </comment>
    <comment ref="F14" authorId="0">
      <text>
        <r>
          <rPr>
            <sz val="10"/>
            <rFont val="Arial"/>
            <family val="2"/>
          </rPr>
          <t xml:space="preserve">Source: AstroDig operating ledger, Q2 2026, Instrument development.</t>
        </r>
      </text>
    </comment>
    <comment ref="F15" authorId="0">
      <text>
        <r>
          <rPr>
            <sz val="10"/>
            <rFont val="Arial"/>
            <family val="2"/>
          </rPr>
          <t xml:space="preserve">Source: AstroDig operating ledger, Q2 2026, Mission analysis.</t>
        </r>
      </text>
    </comment>
    <comment ref="F16" authorId="0">
      <text>
        <r>
          <rPr>
            <sz val="10"/>
            <rFont val="Arial"/>
            <family val="2"/>
          </rPr>
          <t xml:space="preserve">Source: AstroDig operating ledger, Q2 2026, Research and development.</t>
        </r>
      </text>
    </comment>
    <comment ref="F17" authorId="0">
      <text>
        <r>
          <rPr>
            <sz val="10"/>
            <rFont val="Arial"/>
            <family val="2"/>
          </rPr>
          <t xml:space="preserve">Source: AstroDig operating ledger, Q2 2026, Program operations.</t>
        </r>
      </text>
    </comment>
    <comment ref="F18" authorId="0">
      <text>
        <r>
          <rPr>
            <sz val="10"/>
            <rFont val="Arial"/>
            <family val="2"/>
          </rPr>
          <t xml:space="preserve">Source: AstroDig operating ledger, Q2 2026, Corporate administration.</t>
        </r>
      </text>
    </comment>
    <comment ref="F19" authorId="0">
      <text>
        <r>
          <rPr>
            <sz val="10"/>
            <rFont val="Arial"/>
            <family val="2"/>
          </rPr>
          <t xml:space="preserve">Source: AstroDig operating ledger, Q2 2026, Contracted backlog.</t>
        </r>
      </text>
    </comment>
    <comment ref="F20" authorId="0">
      <text>
        <r>
          <rPr>
            <sz val="10"/>
            <rFont val="Arial"/>
            <family val="2"/>
          </rPr>
          <t xml:space="preserve">Source: AstroDig operating ledger, Q2 2026, Completed work packages.</t>
        </r>
      </text>
    </comment>
    <comment ref="F21" authorId="0">
      <text>
        <r>
          <rPr>
            <sz val="10"/>
            <rFont val="Arial"/>
            <family val="2"/>
          </rPr>
          <t xml:space="preserve">Source: AstroDig operating ledger, Q2 2026, Accepted reference runs.</t>
        </r>
      </text>
    </comment>
    <comment ref="F22" authorId="0">
      <text>
        <r>
          <rPr>
            <sz val="10"/>
            <rFont val="Arial"/>
            <family val="2"/>
          </rPr>
          <t xml:space="preserve">Source: AstroDig operating ledger, Q2 2026, Rejected reference runs.</t>
        </r>
      </text>
    </comment>
  </commentList>
</comments>
</file>

<file path=xl/sharedStrings.xml><?xml version="1.0" encoding="utf-8"?>
<sst xmlns="http://schemas.openxmlformats.org/spreadsheetml/2006/main" count="159" uniqueCount="81">
  <si>
    <t xml:space="preserve">AstroDig LLC - Q2 2026 Operating Results</t>
  </si>
  <si>
    <t xml:space="preserve">Published 2026-07-15 | USD unless stated | Internal</t>
  </si>
  <si>
    <t xml:space="preserve">Q2 2026; period ended 2026-06-30.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</si>
  <si>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</si>
  <si>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</si>
  <si>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</si>
  <si>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</si>
  <si>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2026</t>
  </si>
  <si>
    <t xml:space="preserve">Q2 2026</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</si>
  <si>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</si>
  <si>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</si>
  <si>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</si>
  <si>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</si>
  <si>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</si>
  <si>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</si>
  <si>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</si>
  <si>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</si>
  <si>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</si>
  <si>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</si>
  <si>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</si>
  <si>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</si>
  <si>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</si>
  <si>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</si>
  <si>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</si>
  <si>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</si>
  <si>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</si>
  <si>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</si>
  <si>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</si>
  <si>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</si>
  <si>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</si>
  <si>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</si>
  <si>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</si>
  <si>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</si>
  <si>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</si>
  <si>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</si>
  <si>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</si>
  <si>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</si>
  <si>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Margins and spending intensity</t>
  </si>
  <si>
    <t xml:space="preserve">How much revenue remains after delivery costs, and how much is consumed by operating spending?</t>
  </si>
  <si>
    <t xml:space="preserve">Revenue</t>
  </si>
  <si>
    <t xml:space="preserve">Gross profit</t>
  </si>
  <si>
    <t xml:space="preserve">Gross margin</t>
  </si>
  <si>
    <t xml:space="preserve">Operating margin</t>
  </si>
  <si>
    <t xml:space="preserve">Opex / revenue</t>
  </si>
  <si>
    <t xml:space="preserve">COGS / revenue</t>
  </si>
  <si>
    <t xml:space="preserve">Gross-margin balance check</t>
  </si>
  <si>
    <t xml:space="preserve">Gross margin and operating margin answer different questions. A positive delivery margin does not imply that the development program is self-financing.</t>
  </si>
  <si>
    <t xml:space="preserve">Service revenue mix</t>
  </si>
  <si>
    <t xml:space="preserve">Which contracted activities produce recognized revenue?</t>
  </si>
  <si>
    <t xml:space="preserve">Allocated total</t>
  </si>
  <si>
    <t xml:space="preserve">Reported total</t>
  </si>
  <si>
    <t xml:space="preserve">Allocation difference</t>
  </si>
  <si>
    <t xml:space="preserve">Engineering services, instrument development, and mission analysis sum to recognized revenue. No asteroid commodity-sales category is introduced.</t>
  </si>
  <si>
    <t xml:space="preserve">Operating cost allocation</t>
  </si>
  <si>
    <t xml:space="preserve">Where is development capacity being funded?</t>
  </si>
  <si>
    <t xml:space="preserve">Research and development, program operations, and corporate administration reconcile to operating expenses. The allocation makes the development priority visible without treating costs as capitalized assets.</t>
  </si>
  <si>
    <t xml:space="preserve">Workforce and delivery productivity</t>
  </si>
  <si>
    <t xml:space="preserve">What output is supported by the period-end workforce snapshot?</t>
  </si>
  <si>
    <t xml:space="preserve">Revenue / period-end employee</t>
  </si>
  <si>
    <t xml:space="preserve">Work packages / employee</t>
  </si>
  <si>
    <t xml:space="preserve">Total recorded runs</t>
  </si>
  <si>
    <t xml:space="preserve">Reference acceptance fraction</t>
  </si>
  <si>
    <t xml:space="preserve">Run-count reconciliation</t>
  </si>
  <si>
    <t xml:space="preserve">Revenue and completed work packages per period-end employee are descriptive operating ratios, not labor-efficiency guarantees. Headcount is a point-in-time measure and is not summed across quarters.</t>
  </si>
  <si>
    <t xml:space="preserve">Available-period trends and commitments</t>
  </si>
  <si>
    <t xml:space="preserve">How do available quarter results and contracted commitments relate?</t>
  </si>
  <si>
    <t xml:space="preserve">Quarter income difference</t>
  </si>
  <si>
    <t xml:space="preserve">Available-quarter revenue sum</t>
  </si>
  <si>
    <t xml:space="preserve">Latest-quarter revenue growth</t>
  </si>
  <si>
    <t xml:space="preserve">Backlog interpretation</t>
  </si>
  <si>
    <t xml:space="preserve">Remaining work; not cash</t>
  </si>
  <si>
    <t xml:space="preserve">Quarter trends use only known periods. Backlog is a remaining-work snapshot, not cash or recognized revenue; rejected runs remain visible alongside accepted evidence.</t>
  </si>
  <si>
    <t xml:space="preserve">Methodology and evidence boundaries</t>
  </si>
  <si>
    <t xml:space="preserve">Period and recognized source actuals: USD; Q2 2026; period ended 2026-06-30. Revenue $13,685,000; COGS $5,200,300; opex $11,370,050; operating result $-2,885,350.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</si>
  <si>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</si>
  <si>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Margins and spending intensity: How much revenue remains after delivery costs, and how much is consumed by operating spending?
Gross margin and operating margin answer different questions. A positive delivery margin does not imply that the development program is self-financing.</t>
  </si>
  <si>
    <t xml:space="preserve">Service revenue mix: Which contracted activities produce recognized revenue?
Engineering services, instrument development, and mission analysis sum to recognized revenue. No asteroid commodity-sales category is introduced.</t>
  </si>
  <si>
    <t xml:space="preserve">Operating cost allocation: Where is development capacity being funded?
Research and development, program operations, and corporate administration reconcile to operating expenses. The allocation makes the development priority visible without treating costs as capitalized assets.</t>
  </si>
  <si>
    <t xml:space="preserve">Workforce and delivery productivity: What output is supported by the period-end workforce snapshot?
Revenue and completed work packages per period-end employee are descriptive operating ratios, not labor-efficiency guarantees. Headcount is a point-in-time measure and is not summed across quarters.</t>
  </si>
  <si>
    <t xml:space="preserve">Available-period trends and commitments: How do available quarter results and contracted commitments relate?
Quarter trends use only known periods. Backlog is a remaining-work snapshot, not cash or recognized revenue; rejected runs remain visible alongside accepted evidence.</t>
  </si>
  <si>
    <t xml:space="preserve">Methodology and limitations: Retain the 2032 goal while making each intermediate commitment conditional. Principal risk: funding and flight dependencies. Mining has not begun and no mission approval is represented.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</si>
</sst>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Recognized revenue mix</a:t>
            </a:r>
          </a:p>
        </c:rich>
      </c:tx>
      <c:overlay val="0"/>
      <c:spPr>
        <a:noFill/>
        <a:ln w="0">
          <a:noFill/>
        </a:ln>
      </c:spPr>
    </c:title>
    <c:autoTitleDeleted val="0"/>
    <c:plotArea>
      <c:barChart>
        <c:barDir val="col"/>
        <c:grouping val="clustered"/>
        <c:varyColors val="0"/>
        <c:ser>
          <c:idx val="0"/>
          <c:order val="0"/>
          <c:tx>
            <c:strRef>
              <c:f>'Revenue mix'!B7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'Revenue mix'!$A$8:$A$10</c:f>
              <c:strCache>
                <c:ptCount val="3"/>
                <c:pt idx="0">
                  <c:v>Engineering services</c:v>
                </c:pt>
                <c:pt idx="1">
                  <c:v>Instrument development</c:v>
                </c:pt>
                <c:pt idx="2">
                  <c:v>Mission analysis</c:v>
                </c:pt>
              </c:strCache>
            </c:strRef>
          </c:cat>
          <c:val>
            <c:numRef>
              <c:f>'Revenue mix'!$B$8:$B$10</c:f>
              <c:numCache>
                <c:formatCode>\$#,##0;"($"#,##0\);\-</c:formatCode>
                <c:ptCount val="3"/>
                <c:pt idx="0">
                  <c:v>8484700</c:v>
                </c:pt>
                <c:pt idx="1">
                  <c:v>3831800</c:v>
                </c:pt>
                <c:pt idx="2">
                  <c:v>1368500</c:v>
                </c:pt>
              </c:numCache>
            </c:numRef>
          </c:val>
        </c:ser>
        <c:gapWidth val="150"/>
        <c:overlap val="0"/>
        <c:axId val="79010552"/>
        <c:axId val="93902120"/>
      </c:barChart>
      <c:catAx>
        <c:axId val="7901055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3902120"/>
        <c:crosses val="autoZero"/>
        <c:auto val="1"/>
        <c:lblAlgn val="ctr"/>
        <c:lblOffset val="100"/>
        <c:noMultiLvlLbl val="0"/>
      </c:catAx>
      <c:valAx>
        <c:axId val="93902120"/>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901055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Operating expense allocation</a:t>
            </a:r>
          </a:p>
        </c:rich>
      </c:tx>
      <c:overlay val="0"/>
      <c:spPr>
        <a:noFill/>
        <a:ln w="0">
          <a:noFill/>
        </a:ln>
      </c:spPr>
    </c:title>
    <c:autoTitleDeleted val="0"/>
    <c:plotArea>
      <c:barChart>
        <c:barDir val="col"/>
        <c:grouping val="clustered"/>
        <c:varyColors val="0"/>
        <c:ser>
          <c:idx val="0"/>
          <c:order val="0"/>
          <c:tx>
            <c:strRef>
              <c:f>'Cost drivers'!B7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'Cost drivers'!$A$8:$A$10</c:f>
              <c:strCache>
                <c:ptCount val="3"/>
                <c:pt idx="0">
                  <c:v>Research and development</c:v>
                </c:pt>
                <c:pt idx="1">
                  <c:v>Program operations</c:v>
                </c:pt>
                <c:pt idx="2">
                  <c:v>Corporate administration</c:v>
                </c:pt>
              </c:strCache>
            </c:strRef>
          </c:cat>
          <c:val>
            <c:numRef>
              <c:f>'Cost drivers'!$B$8:$B$10</c:f>
              <c:numCache>
                <c:formatCode>\$#,##0;"($"#,##0\);\-</c:formatCode>
                <c:ptCount val="3"/>
                <c:pt idx="0">
                  <c:v>8186436</c:v>
                </c:pt>
                <c:pt idx="1">
                  <c:v>2046609</c:v>
                </c:pt>
                <c:pt idx="2">
                  <c:v>1137005</c:v>
                </c:pt>
              </c:numCache>
            </c:numRef>
          </c:val>
        </c:ser>
        <c:gapWidth val="150"/>
        <c:overlap val="0"/>
        <c:axId val="88725064"/>
        <c:axId val="84893357"/>
      </c:barChart>
      <c:catAx>
        <c:axId val="8872506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4893357"/>
        <c:crosses val="autoZero"/>
        <c:auto val="1"/>
        <c:lblAlgn val="ctr"/>
        <c:lblOffset val="100"/>
        <c:noMultiLvlLbl val="0"/>
      </c:catAx>
      <c:valAx>
        <c:axId val="8489335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872506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row>
    <row r="8" customFormat="false" ht="15" hidden="false" customHeight="false" outlineLevel="0" collapsed="false">
      <c r="A8" s="5" t="s">
        <v>9</v>
      </c>
      <c r="B8" s="6" t="n">
        <v>13685000</v>
      </c>
      <c r="C8" s="7" t="s">
        <v>10</v>
      </c>
      <c r="D8" s="5" t="s">
        <v>9</v>
      </c>
      <c r="E8" s="6" t="n">
        <v>11900000</v>
      </c>
      <c r="F8" s="6" t="n">
        <v>13685000</v>
      </c>
    </row>
    <row r="9" customFormat="false" ht="15" hidden="false" customHeight="false" outlineLevel="0" collapsed="false">
      <c r="A9" s="5" t="s">
        <v>11</v>
      </c>
      <c r="B9" s="6" t="n">
        <v>5200300</v>
      </c>
      <c r="C9" s="7" t="s">
        <v>10</v>
      </c>
      <c r="D9" s="5" t="s">
        <v>11</v>
      </c>
      <c r="E9" s="6" t="n">
        <v>4522000</v>
      </c>
      <c r="F9" s="6" t="n">
        <v>5200300</v>
      </c>
    </row>
    <row r="10" customFormat="false" ht="15" hidden="false" customHeight="false" outlineLevel="0" collapsed="false">
      <c r="A10" s="5" t="s">
        <v>12</v>
      </c>
      <c r="B10" s="6" t="n">
        <v>11370050</v>
      </c>
      <c r="C10" s="7" t="s">
        <v>10</v>
      </c>
      <c r="D10" s="5" t="s">
        <v>12</v>
      </c>
      <c r="E10" s="6" t="n">
        <v>9887000</v>
      </c>
      <c r="F10" s="6" t="n">
        <v>11370050</v>
      </c>
    </row>
    <row r="11" customFormat="false" ht="15" hidden="false" customHeight="false" outlineLevel="0" collapsed="false">
      <c r="A11" s="5" t="s">
        <v>13</v>
      </c>
      <c r="B11" s="6" t="n">
        <v>-2885350</v>
      </c>
      <c r="C11" s="7" t="s">
        <v>10</v>
      </c>
      <c r="D11" s="5" t="s">
        <v>13</v>
      </c>
      <c r="E11" s="6" t="n">
        <v>-2509000</v>
      </c>
      <c r="F11" s="6" t="n">
        <v>-2885350</v>
      </c>
    </row>
    <row r="12" customFormat="false" ht="15" hidden="false" customHeight="false" outlineLevel="0" collapsed="false">
      <c r="A12" s="5" t="s">
        <v>14</v>
      </c>
      <c r="B12" s="8" t="n">
        <v>212</v>
      </c>
      <c r="C12" s="7" t="s">
        <v>15</v>
      </c>
      <c r="D12" s="5" t="s">
        <v>14</v>
      </c>
      <c r="E12" s="8" t="n">
        <v>199</v>
      </c>
      <c r="F12" s="8" t="n">
        <v>212</v>
      </c>
    </row>
    <row r="13" customFormat="false" ht="15" hidden="false" customHeight="false" outlineLevel="0" collapsed="false">
      <c r="A13" s="5" t="s">
        <v>16</v>
      </c>
      <c r="B13" s="6" t="n">
        <v>8484700</v>
      </c>
      <c r="C13" s="7" t="s">
        <v>10</v>
      </c>
      <c r="D13" s="5" t="s">
        <v>16</v>
      </c>
      <c r="E13" s="6" t="n">
        <v>7378000</v>
      </c>
      <c r="F13" s="6" t="n">
        <v>8484700</v>
      </c>
    </row>
    <row r="14" customFormat="false" ht="15" hidden="false" customHeight="false" outlineLevel="0" collapsed="false">
      <c r="A14" s="5" t="s">
        <v>17</v>
      </c>
      <c r="B14" s="6" t="n">
        <v>3831800</v>
      </c>
      <c r="C14" s="7" t="s">
        <v>10</v>
      </c>
      <c r="D14" s="5" t="s">
        <v>17</v>
      </c>
      <c r="E14" s="6" t="n">
        <v>3332000</v>
      </c>
      <c r="F14" s="6" t="n">
        <v>3831800</v>
      </c>
    </row>
    <row r="15" customFormat="false" ht="15" hidden="false" customHeight="false" outlineLevel="0" collapsed="false">
      <c r="A15" s="5" t="s">
        <v>18</v>
      </c>
      <c r="B15" s="6" t="n">
        <v>1368500</v>
      </c>
      <c r="C15" s="7" t="s">
        <v>10</v>
      </c>
      <c r="D15" s="5" t="s">
        <v>18</v>
      </c>
      <c r="E15" s="6" t="n">
        <v>1190000</v>
      </c>
      <c r="F15" s="6" t="n">
        <v>1368500</v>
      </c>
    </row>
    <row r="16" customFormat="false" ht="15" hidden="false" customHeight="false" outlineLevel="0" collapsed="false">
      <c r="A16" s="5" t="s">
        <v>19</v>
      </c>
      <c r="B16" s="6" t="n">
        <v>8186436</v>
      </c>
      <c r="C16" s="7" t="s">
        <v>10</v>
      </c>
      <c r="D16" s="5" t="s">
        <v>19</v>
      </c>
      <c r="E16" s="6" t="n">
        <v>7118640</v>
      </c>
      <c r="F16" s="6" t="n">
        <v>8186436</v>
      </c>
    </row>
    <row r="17" customFormat="false" ht="15" hidden="false" customHeight="false" outlineLevel="0" collapsed="false">
      <c r="A17" s="5" t="s">
        <v>20</v>
      </c>
      <c r="B17" s="6" t="n">
        <v>2046609</v>
      </c>
      <c r="C17" s="7" t="s">
        <v>10</v>
      </c>
      <c r="D17" s="5" t="s">
        <v>20</v>
      </c>
      <c r="E17" s="6" t="n">
        <v>1779660</v>
      </c>
      <c r="F17" s="6" t="n">
        <v>2046609</v>
      </c>
    </row>
    <row r="18" customFormat="false" ht="15" hidden="false" customHeight="false" outlineLevel="0" collapsed="false">
      <c r="A18" s="5" t="s">
        <v>21</v>
      </c>
      <c r="B18" s="6" t="n">
        <v>1137005</v>
      </c>
      <c r="C18" s="7" t="s">
        <v>10</v>
      </c>
      <c r="D18" s="5" t="s">
        <v>21</v>
      </c>
      <c r="E18" s="6" t="n">
        <v>988700</v>
      </c>
      <c r="F18" s="6" t="n">
        <v>1137005</v>
      </c>
    </row>
    <row r="19" customFormat="false" ht="15" hidden="false" customHeight="false" outlineLevel="0" collapsed="false">
      <c r="A19" s="5" t="s">
        <v>22</v>
      </c>
      <c r="B19" s="6" t="n">
        <v>95795000</v>
      </c>
      <c r="C19" s="7" t="s">
        <v>10</v>
      </c>
      <c r="D19" s="5" t="s">
        <v>22</v>
      </c>
      <c r="E19" s="6" t="n">
        <v>71400000</v>
      </c>
      <c r="F19" s="6" t="n">
        <v>95795000</v>
      </c>
    </row>
    <row r="20" customFormat="false" ht="15" hidden="false" customHeight="false" outlineLevel="0" collapsed="false">
      <c r="A20" s="5" t="s">
        <v>23</v>
      </c>
      <c r="B20" s="8" t="n">
        <v>47</v>
      </c>
      <c r="C20" s="7" t="s">
        <v>15</v>
      </c>
      <c r="D20" s="5" t="s">
        <v>23</v>
      </c>
      <c r="E20" s="8" t="n">
        <v>46</v>
      </c>
      <c r="F20" s="8" t="n">
        <v>47</v>
      </c>
    </row>
    <row r="21" customFormat="false" ht="15" hidden="false" customHeight="false" outlineLevel="0" collapsed="false">
      <c r="A21" s="5" t="s">
        <v>24</v>
      </c>
      <c r="B21" s="8" t="n">
        <v>109</v>
      </c>
      <c r="C21" s="7" t="s">
        <v>15</v>
      </c>
      <c r="D21" s="5" t="s">
        <v>24</v>
      </c>
      <c r="E21" s="8" t="n">
        <v>106</v>
      </c>
      <c r="F21" s="8" t="n">
        <v>109</v>
      </c>
    </row>
    <row r="22" customFormat="false" ht="15" hidden="false" customHeight="false" outlineLevel="0" collapsed="false">
      <c r="A22" s="5" t="s">
        <v>25</v>
      </c>
      <c r="B22" s="8" t="n">
        <v>2</v>
      </c>
      <c r="C22" s="7" t="s">
        <v>15</v>
      </c>
      <c r="D22" s="5" t="s">
        <v>25</v>
      </c>
      <c r="E22" s="8" t="n">
        <v>6</v>
      </c>
      <c r="F22" s="8" t="n">
        <v>2</v>
      </c>
    </row>
    <row r="25" customFormat="false" ht="39.75" hidden="false" customHeight="true" outlineLevel="0" collapsed="false">
      <c r="A25" s="3" t="s">
        <v>26</v>
      </c>
      <c r="B25" s="3"/>
      <c r="C25" s="3"/>
      <c r="D25" s="3"/>
      <c r="E25" s="3"/>
      <c r="F25" s="3"/>
      <c r="G25" s="3"/>
      <c r="H25" s="3"/>
    </row>
    <row r="28" customFormat="false" ht="39.75" hidden="false" customHeight="true" outlineLevel="0" collapsed="false">
      <c r="A28" s="3" t="s">
        <v>27</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29</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9</v>
      </c>
      <c r="B8" s="9" t="n">
        <f aca="false">'Source actuals'!B8</f>
        <v>13685000</v>
      </c>
    </row>
    <row r="9" customFormat="false" ht="15" hidden="false" customHeight="false" outlineLevel="0" collapsed="false">
      <c r="A9" s="5" t="s">
        <v>11</v>
      </c>
      <c r="B9" s="9" t="n">
        <f aca="false">'Source actuals'!B9</f>
        <v>5200300</v>
      </c>
    </row>
    <row r="10" customFormat="false" ht="15" hidden="false" customHeight="false" outlineLevel="0" collapsed="false">
      <c r="A10" s="5" t="s">
        <v>12</v>
      </c>
      <c r="B10" s="9" t="n">
        <f aca="false">'Source actuals'!B10</f>
        <v>11370050</v>
      </c>
    </row>
    <row r="11" customFormat="false" ht="15" hidden="false" customHeight="false" outlineLevel="0" collapsed="false">
      <c r="A11" s="5" t="s">
        <v>32</v>
      </c>
      <c r="B11" s="10" t="n">
        <f aca="false">B8-B9-B10</f>
        <v>-2885350</v>
      </c>
    </row>
    <row r="12" customFormat="false" ht="15" hidden="false" customHeight="false" outlineLevel="0" collapsed="false">
      <c r="A12" s="5" t="s">
        <v>33</v>
      </c>
      <c r="B12" s="9" t="n">
        <f aca="false">'Source actuals'!B11</f>
        <v>-2885350</v>
      </c>
    </row>
    <row r="14" customFormat="false" ht="15" hidden="false" customHeight="false" outlineLevel="0" collapsed="false">
      <c r="A14" s="5" t="s">
        <v>34</v>
      </c>
      <c r="B14" s="10" t="n">
        <f aca="false">B11-B12</f>
        <v>0</v>
      </c>
      <c r="C14" s="5" t="str">
        <f aca="false">IF(B14=0,"RECONCILED","REVIEW")</f>
        <v>RECONCILED</v>
      </c>
    </row>
    <row r="26" customFormat="false" ht="60" hidden="false" customHeight="true" outlineLevel="0" collapsed="false">
      <c r="A26" s="3" t="s">
        <v>35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39</v>
      </c>
      <c r="B8" s="9" t="n">
        <f aca="false">'Source actuals'!B8</f>
        <v>13685000</v>
      </c>
    </row>
    <row r="9" customFormat="false" ht="15" hidden="false" customHeight="false" outlineLevel="0" collapsed="false">
      <c r="A9" s="5" t="s">
        <v>40</v>
      </c>
      <c r="B9" s="9" t="n">
        <f aca="false">'Source actuals'!B8-'Source actuals'!B9</f>
        <v>8484700</v>
      </c>
    </row>
    <row r="10" customFormat="false" ht="15" hidden="false" customHeight="false" outlineLevel="0" collapsed="false">
      <c r="A10" s="5" t="s">
        <v>41</v>
      </c>
      <c r="B10" s="11" t="n">
        <f aca="false">IF(B8=0,0,B9/B8)</f>
        <v>0.62</v>
      </c>
    </row>
    <row r="11" customFormat="false" ht="15" hidden="false" customHeight="false" outlineLevel="0" collapsed="false">
      <c r="A11" s="5" t="s">
        <v>42</v>
      </c>
      <c r="B11" s="12" t="n">
        <f aca="false">IF(B8=0,0,'Source actuals'!B11/B8)</f>
        <v>-0.210840336134454</v>
      </c>
    </row>
    <row r="12" customFormat="false" ht="15" hidden="false" customHeight="false" outlineLevel="0" collapsed="false">
      <c r="A12" s="5" t="s">
        <v>43</v>
      </c>
      <c r="B12" s="12" t="n">
        <f aca="false">IF(B8=0,0,'Source actuals'!B10/B8)</f>
        <v>0.830840336134454</v>
      </c>
    </row>
    <row r="13" customFormat="false" ht="15" hidden="false" customHeight="false" outlineLevel="0" collapsed="false">
      <c r="A13" s="5" t="s">
        <v>44</v>
      </c>
      <c r="B13" s="12" t="n">
        <f aca="false">IF(B8=0,0,'Source actuals'!B9/B8)</f>
        <v>0.38</v>
      </c>
    </row>
    <row r="15" customFormat="false" ht="15" hidden="false" customHeight="false" outlineLevel="0" collapsed="false">
      <c r="A15" s="5" t="s">
        <v>45</v>
      </c>
      <c r="B15" s="11" t="n">
        <f aca="false">B10+B13-1</f>
        <v>0</v>
      </c>
      <c r="C15" s="5" t="str">
        <f aca="false">IF(ABS(B15)&lt;0.000001,"RECONCILED","REVIEW")</f>
        <v>RECONCILED</v>
      </c>
    </row>
    <row r="26" customFormat="false" ht="60" hidden="false" customHeight="true" outlineLevel="0" collapsed="false">
      <c r="A26" s="3" t="s">
        <v>46</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47</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48</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16</v>
      </c>
      <c r="B8" s="9" t="n">
        <f aca="false">'Source actuals'!B13</f>
        <v>8484700</v>
      </c>
      <c r="C8" s="11" t="n">
        <f aca="false">IF(B11=0,0,B8/B11)</f>
        <v>0.62</v>
      </c>
    </row>
    <row r="9" customFormat="false" ht="15" hidden="false" customHeight="false" outlineLevel="0" collapsed="false">
      <c r="A9" s="5" t="s">
        <v>17</v>
      </c>
      <c r="B9" s="9" t="n">
        <f aca="false">'Source actuals'!B14</f>
        <v>3831800</v>
      </c>
      <c r="C9" s="11" t="n">
        <f aca="false">IF(B11=0,0,B9/B11)</f>
        <v>0.28</v>
      </c>
    </row>
    <row r="10" customFormat="false" ht="15" hidden="false" customHeight="false" outlineLevel="0" collapsed="false">
      <c r="A10" s="5" t="s">
        <v>18</v>
      </c>
      <c r="B10" s="9" t="n">
        <f aca="false">'Source actuals'!B15</f>
        <v>1368500</v>
      </c>
      <c r="C10" s="11" t="n">
        <f aca="false">IF(B11=0,0,B10/B11)</f>
        <v>0.1</v>
      </c>
    </row>
    <row r="11" customFormat="false" ht="15" hidden="false" customHeight="false" outlineLevel="0" collapsed="false">
      <c r="A11" s="5" t="s">
        <v>49</v>
      </c>
      <c r="B11" s="10" t="n">
        <f aca="false">SUM(B8:B10)</f>
        <v>13685000</v>
      </c>
      <c r="C11" s="11" t="n">
        <f aca="false">SUM(C8:C10)</f>
        <v>1</v>
      </c>
    </row>
    <row r="12" customFormat="false" ht="15" hidden="false" customHeight="false" outlineLevel="0" collapsed="false">
      <c r="A12" s="5" t="s">
        <v>50</v>
      </c>
      <c r="B12" s="9" t="n">
        <f aca="false">'Source actuals'!B8</f>
        <v>13685000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52</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54</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19</v>
      </c>
      <c r="B8" s="9" t="n">
        <f aca="false">'Source actuals'!B16</f>
        <v>8186436</v>
      </c>
      <c r="C8" s="11" t="n">
        <f aca="false">IF(B11=0,0,B8/B11)</f>
        <v>0.72</v>
      </c>
    </row>
    <row r="9" customFormat="false" ht="15" hidden="false" customHeight="false" outlineLevel="0" collapsed="false">
      <c r="A9" s="5" t="s">
        <v>20</v>
      </c>
      <c r="B9" s="9" t="n">
        <f aca="false">'Source actuals'!B17</f>
        <v>2046609</v>
      </c>
      <c r="C9" s="11" t="n">
        <f aca="false">IF(B11=0,0,B9/B11)</f>
        <v>0.18</v>
      </c>
    </row>
    <row r="10" customFormat="false" ht="15" hidden="false" customHeight="false" outlineLevel="0" collapsed="false">
      <c r="A10" s="5" t="s">
        <v>21</v>
      </c>
      <c r="B10" s="9" t="n">
        <f aca="false">'Source actuals'!B18</f>
        <v>1137005</v>
      </c>
      <c r="C10" s="11" t="n">
        <f aca="false">IF(B11=0,0,B10/B11)</f>
        <v>0.1</v>
      </c>
    </row>
    <row r="11" customFormat="false" ht="15" hidden="false" customHeight="false" outlineLevel="0" collapsed="false">
      <c r="A11" s="5" t="s">
        <v>49</v>
      </c>
      <c r="B11" s="10" t="n">
        <f aca="false">SUM(B8:B10)</f>
        <v>11370050</v>
      </c>
      <c r="C11" s="11" t="n">
        <f aca="false">SUM(C8:C10)</f>
        <v>1</v>
      </c>
    </row>
    <row r="12" customFormat="false" ht="15" hidden="false" customHeight="false" outlineLevel="0" collapsed="false">
      <c r="A12" s="5" t="s">
        <v>50</v>
      </c>
      <c r="B12" s="9" t="n">
        <f aca="false">'Source actuals'!B10</f>
        <v>11370050</v>
      </c>
    </row>
    <row r="14" customFormat="false" ht="15" hidden="false" customHeight="false" outlineLevel="0" collapsed="false">
      <c r="A14" s="5" t="s">
        <v>51</v>
      </c>
      <c r="B14" s="10" t="n">
        <f aca="false">B11-B12</f>
        <v>0</v>
      </c>
      <c r="C14" s="5" t="str">
        <f aca="false">IF(B14=0,"RECONCILED","REVIEW")</f>
        <v>RECONCILED</v>
      </c>
    </row>
    <row r="26" customFormat="false" ht="60" hidden="false" customHeight="true" outlineLevel="0" collapsed="false">
      <c r="A26" s="3" t="s">
        <v>55</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56</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57</v>
      </c>
      <c r="B5" s="3"/>
      <c r="C5" s="3"/>
      <c r="D5" s="3"/>
      <c r="E5" s="3"/>
      <c r="F5" s="3"/>
      <c r="G5" s="3"/>
      <c r="H5" s="3"/>
    </row>
    <row r="7" customFormat="false" ht="22.5" hidden="false" customHeight="true" outlineLevel="0" collapsed="false">
      <c r="A7" s="4" t="s">
        <v>3</v>
      </c>
      <c r="B7" s="4" t="s">
        <v>30</v>
      </c>
      <c r="C7" s="4" t="s">
        <v>31</v>
      </c>
    </row>
    <row r="8" customFormat="false" ht="15" hidden="false" customHeight="false" outlineLevel="0" collapsed="false">
      <c r="A8" s="5" t="s">
        <v>14</v>
      </c>
      <c r="B8" s="13" t="n">
        <f aca="false">'Source actuals'!B12</f>
        <v>212</v>
      </c>
    </row>
    <row r="9" customFormat="false" ht="15" hidden="false" customHeight="false" outlineLevel="0" collapsed="false">
      <c r="A9" s="5" t="s">
        <v>58</v>
      </c>
      <c r="B9" s="9" t="n">
        <f aca="false">'Source actuals'!B8/B8</f>
        <v>64551.8867924528</v>
      </c>
    </row>
    <row r="10" customFormat="false" ht="15" hidden="false" customHeight="false" outlineLevel="0" collapsed="false">
      <c r="A10" s="5" t="s">
        <v>23</v>
      </c>
      <c r="B10" s="13" t="n">
        <f aca="false">'Source actuals'!B20</f>
        <v>47</v>
      </c>
    </row>
    <row r="11" customFormat="false" ht="15" hidden="false" customHeight="false" outlineLevel="0" collapsed="false">
      <c r="A11" s="5" t="s">
        <v>59</v>
      </c>
      <c r="B11" s="14" t="n">
        <f aca="false">B10/B8</f>
        <v>0.221698113207547</v>
      </c>
    </row>
    <row r="12" customFormat="false" ht="15" hidden="false" customHeight="false" outlineLevel="0" collapsed="false">
      <c r="A12" s="5" t="s">
        <v>24</v>
      </c>
      <c r="B12" s="13" t="n">
        <f aca="false">'Source actuals'!B21</f>
        <v>109</v>
      </c>
    </row>
    <row r="13" customFormat="false" ht="15" hidden="false" customHeight="false" outlineLevel="0" collapsed="false">
      <c r="A13" s="5" t="s">
        <v>25</v>
      </c>
      <c r="B13" s="13" t="n">
        <f aca="false">'Source actuals'!B22</f>
        <v>2</v>
      </c>
    </row>
    <row r="14" customFormat="false" ht="15" hidden="false" customHeight="false" outlineLevel="0" collapsed="false">
      <c r="A14" s="5" t="s">
        <v>60</v>
      </c>
      <c r="B14" s="15" t="n">
        <f aca="false">SUM(B12:B13)</f>
        <v>111</v>
      </c>
    </row>
    <row r="15" customFormat="false" ht="15" hidden="false" customHeight="false" outlineLevel="0" collapsed="false">
      <c r="A15" s="5" t="s">
        <v>61</v>
      </c>
      <c r="B15" s="11" t="n">
        <f aca="false">IF(B14=0,0,B12/B14)</f>
        <v>0.981981981981982</v>
      </c>
    </row>
    <row r="17" customFormat="false" ht="15" hidden="false" customHeight="false" outlineLevel="0" collapsed="false">
      <c r="A17" s="5" t="s">
        <v>62</v>
      </c>
      <c r="B17" s="15" t="n">
        <f aca="false">B14-B12-B13</f>
        <v>0</v>
      </c>
      <c r="C17" s="5" t="str">
        <f aca="false">IF(B17=0,"RECONCILED","REVIEW")</f>
        <v>RECONCILED</v>
      </c>
    </row>
    <row r="26" customFormat="false" ht="60" hidden="false" customHeight="true" outlineLevel="0" collapsed="false">
      <c r="A26" s="3" t="s">
        <v>63</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64</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65</v>
      </c>
      <c r="B5" s="3"/>
      <c r="C5" s="3"/>
      <c r="D5" s="3"/>
      <c r="E5" s="3"/>
      <c r="F5" s="3"/>
      <c r="G5" s="3"/>
      <c r="H5" s="3"/>
    </row>
    <row r="7" customFormat="false" ht="22.5" hidden="false" customHeight="true" outlineLevel="0" collapsed="false">
      <c r="A7" s="4" t="s">
        <v>3</v>
      </c>
      <c r="B7" s="4" t="s">
        <v>7</v>
      </c>
      <c r="C7" s="4" t="s">
        <v>8</v>
      </c>
    </row>
    <row r="8" customFormat="false" ht="15" hidden="false" customHeight="false" outlineLevel="0" collapsed="false">
      <c r="A8" s="5" t="s">
        <v>9</v>
      </c>
      <c r="B8" s="9" t="n">
        <f aca="false">'Source actuals'!E8</f>
        <v>11900000</v>
      </c>
      <c r="C8" s="9" t="n">
        <f aca="false">'Source actuals'!F8</f>
        <v>13685000</v>
      </c>
    </row>
    <row r="9" customFormat="false" ht="15" hidden="false" customHeight="false" outlineLevel="0" collapsed="false">
      <c r="A9" s="5" t="s">
        <v>11</v>
      </c>
      <c r="B9" s="9" t="n">
        <f aca="false">'Source actuals'!E9</f>
        <v>4522000</v>
      </c>
      <c r="C9" s="9" t="n">
        <f aca="false">'Source actuals'!F9</f>
        <v>5200300</v>
      </c>
    </row>
    <row r="10" customFormat="false" ht="15" hidden="false" customHeight="false" outlineLevel="0" collapsed="false">
      <c r="A10" s="5" t="s">
        <v>12</v>
      </c>
      <c r="B10" s="9" t="n">
        <f aca="false">'Source actuals'!E10</f>
        <v>9887000</v>
      </c>
      <c r="C10" s="9" t="n">
        <f aca="false">'Source actuals'!F10</f>
        <v>11370050</v>
      </c>
    </row>
    <row r="11" customFormat="false" ht="15" hidden="false" customHeight="false" outlineLevel="0" collapsed="false">
      <c r="A11" s="5" t="s">
        <v>13</v>
      </c>
      <c r="B11" s="9" t="n">
        <f aca="false">'Source actuals'!E11</f>
        <v>-2509000</v>
      </c>
      <c r="C11" s="9" t="n">
        <f aca="false">'Source actuals'!F11</f>
        <v>-2885350</v>
      </c>
    </row>
    <row r="12" customFormat="false" ht="15" hidden="false" customHeight="false" outlineLevel="0" collapsed="false">
      <c r="A12" s="5" t="s">
        <v>22</v>
      </c>
      <c r="B12" s="9" t="n">
        <f aca="false">'Source actuals'!E19</f>
        <v>71400000</v>
      </c>
      <c r="C12" s="9" t="n">
        <f aca="false">'Source actuals'!F19</f>
        <v>95795000</v>
      </c>
    </row>
    <row r="13" customFormat="false" ht="15" hidden="false" customHeight="false" outlineLevel="0" collapsed="false">
      <c r="A13" s="5" t="s">
        <v>14</v>
      </c>
      <c r="B13" s="13" t="n">
        <f aca="false">'Source actuals'!E12</f>
        <v>199</v>
      </c>
      <c r="C13" s="13" t="n">
        <f aca="false">'Source actuals'!F12</f>
        <v>212</v>
      </c>
    </row>
    <row r="15" customFormat="false" ht="15" hidden="false" customHeight="false" outlineLevel="0" collapsed="false">
      <c r="A15" s="5" t="s">
        <v>66</v>
      </c>
      <c r="B15" s="10" t="n">
        <f aca="false">B8-B9-B10-B11</f>
        <v>0</v>
      </c>
      <c r="C15" s="10" t="n">
        <f aca="false">C8-C9-C10-C11</f>
        <v>0</v>
      </c>
    </row>
    <row r="16" customFormat="false" ht="15" hidden="false" customHeight="false" outlineLevel="0" collapsed="false">
      <c r="B16" s="5" t="str">
        <f aca="false">IF(B15=0,"RECONCILED","REVIEW")</f>
        <v>RECONCILED</v>
      </c>
      <c r="C16" s="5" t="str">
        <f aca="false">IF(C15=0,"RECONCILED","REVIEW")</f>
        <v>RECONCILED</v>
      </c>
    </row>
    <row r="18" customFormat="false" ht="15" hidden="false" customHeight="false" outlineLevel="0" collapsed="false">
      <c r="A18" s="5" t="s">
        <v>67</v>
      </c>
      <c r="B18" s="10" t="n">
        <f aca="false">SUM(B8:C8)</f>
        <v>25585000</v>
      </c>
    </row>
    <row r="19" customFormat="false" ht="15" hidden="false" customHeight="false" outlineLevel="0" collapsed="false">
      <c r="A19" s="5" t="s">
        <v>68</v>
      </c>
      <c r="B19" s="11" t="n">
        <f aca="false">C8/B8-1</f>
        <v>0.15</v>
      </c>
    </row>
    <row r="21" customFormat="false" ht="15" hidden="false" customHeight="false" outlineLevel="0" collapsed="false">
      <c r="A21" s="5" t="s">
        <v>69</v>
      </c>
      <c r="B21" s="5" t="s">
        <v>70</v>
      </c>
    </row>
    <row r="26" customFormat="false" ht="60" hidden="false" customHeight="true" outlineLevel="0" collapsed="false">
      <c r="A26" s="3" t="s">
        <v>71</v>
      </c>
      <c r="B26" s="3"/>
      <c r="C26" s="3"/>
      <c r="D26" s="3"/>
      <c r="E26" s="3"/>
      <c r="F26" s="3"/>
      <c r="G26" s="3"/>
      <c r="H26" s="3"/>
    </row>
    <row r="30" customFormat="false" ht="42" hidden="false" customHeight="true" outlineLevel="0" collapsed="false">
      <c r="A30" s="3" t="s">
        <v>36</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73</v>
      </c>
      <c r="B5" s="3"/>
      <c r="C5" s="3"/>
      <c r="D5" s="3"/>
      <c r="E5" s="3"/>
      <c r="F5" s="3"/>
      <c r="G5" s="3"/>
      <c r="H5" s="3"/>
    </row>
    <row r="7" customFormat="false" ht="22.5" hidden="false" customHeight="true" outlineLevel="0" collapsed="false"/>
    <row r="8" customFormat="false" ht="61.5" hidden="false" customHeight="true" outlineLevel="0" collapsed="false">
      <c r="A8" s="3" t="s">
        <v>74</v>
      </c>
      <c r="B8" s="3"/>
      <c r="C8" s="3"/>
      <c r="D8" s="3"/>
      <c r="E8" s="3"/>
      <c r="F8" s="3"/>
      <c r="G8" s="3"/>
      <c r="H8" s="3"/>
    </row>
    <row r="11" customFormat="false" ht="61.5" hidden="false" customHeight="true" outlineLevel="0" collapsed="false">
      <c r="A11" s="3" t="s">
        <v>75</v>
      </c>
      <c r="B11" s="3"/>
      <c r="C11" s="3"/>
      <c r="D11" s="3"/>
      <c r="E11" s="3"/>
      <c r="F11" s="3"/>
      <c r="G11" s="3"/>
      <c r="H11" s="3"/>
    </row>
    <row r="14" customFormat="false" ht="61.5" hidden="false" customHeight="true" outlineLevel="0" collapsed="false">
      <c r="A14" s="3" t="s">
        <v>76</v>
      </c>
      <c r="B14" s="3"/>
      <c r="C14" s="3"/>
      <c r="D14" s="3"/>
      <c r="E14" s="3"/>
      <c r="F14" s="3"/>
      <c r="G14" s="3"/>
      <c r="H14" s="3"/>
    </row>
    <row r="17" customFormat="false" ht="61.5" hidden="false" customHeight="true" outlineLevel="0" collapsed="false">
      <c r="A17" s="3" t="s">
        <v>77</v>
      </c>
      <c r="B17" s="3"/>
      <c r="C17" s="3"/>
      <c r="D17" s="3"/>
      <c r="E17" s="3"/>
      <c r="F17" s="3"/>
      <c r="G17" s="3"/>
      <c r="H17" s="3"/>
    </row>
    <row r="20" customFormat="false" ht="61.5" hidden="false" customHeight="true" outlineLevel="0" collapsed="false">
      <c r="A20" s="3" t="s">
        <v>78</v>
      </c>
      <c r="B20" s="3"/>
      <c r="C20" s="3"/>
      <c r="D20" s="3"/>
      <c r="E20" s="3"/>
      <c r="F20" s="3"/>
      <c r="G20" s="3"/>
      <c r="H20" s="3"/>
    </row>
    <row r="23" customFormat="false" ht="61.5" hidden="false" customHeight="true" outlineLevel="0" collapsed="false">
      <c r="A23" s="3" t="s">
        <v>79</v>
      </c>
      <c r="B23" s="3"/>
      <c r="C23" s="3"/>
      <c r="D23" s="3"/>
      <c r="E23" s="3"/>
      <c r="F23" s="3"/>
      <c r="G23" s="3"/>
      <c r="H23" s="3"/>
    </row>
    <row r="26" customFormat="false" ht="61.5" hidden="false" customHeight="true" outlineLevel="0" collapsed="false">
      <c r="A26" s="3" t="s">
        <v>80</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2026-10-08T21:36:42Z</dcterms:created>
  <dc:creator>AstroDig LLC</dc:creator>
  <dc:description/>
  <dc:language>en-US</dc:language>
  <cp:lastModifiedBy/>
  <dcterms:modified xsi:type="dcterms:W3CDTF">2026-10-08T21:36:42Z</dcterms:modified>
  <cp:revision>0</cp:revision>
  <dc:subject>USD operating performance</dc:subject>
  <dc:title>AstroDig LLC - Q2 2026 Operating Results</dc:title>
</cp:coreProperties>
</file>

<file path=docProps/custom.xml><?xml version="1.0" encoding="utf-8"?>
<Properties xmlns="http://schemas.openxmlformats.org/officeDocument/2006/custom-properties" xmlns:vt="http://schemas.openxmlformats.org/officeDocument/2006/docPropsVTypes"/>
</file>