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styles.xml" ContentType="application/vnd.openxmlformats-officedocument.spreadsheetml.styles+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olors2.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ource actuals" sheetId="1" state="visible" r:id="rId3"/>
    <sheet name="Income bridge" sheetId="2" state="visible" r:id="rId4"/>
    <sheet name="Margins" sheetId="3" state="visible" r:id="rId5"/>
    <sheet name="Revenue mix" sheetId="4" state="visible" r:id="rId6"/>
    <sheet name="Cost drivers" sheetId="5" state="visible" r:id="rId7"/>
    <sheet name="Productivity" sheetId="6" state="visible" r:id="rId8"/>
    <sheet name="Trends and commitments" sheetId="7" state="visible" r:id="rId9"/>
    <sheet name="Methodology" sheetId="8" state="visible" r:id="rId10"/>
  </sheets>
  <definedNames>
    <definedName function="false" hidden="false" localSheetId="4" name="_xlnm.Print_Area" vbProcedure="false">'Cost drivers'!$A$1:$H$36</definedName>
    <definedName function="false" hidden="false" localSheetId="1" name="_xlnm.Print_Area" vbProcedure="false">'Income bridge'!$A$1:$H$36</definedName>
    <definedName function="false" hidden="false" localSheetId="2" name="_xlnm.Print_Area" vbProcedure="false">Margins!$A$1:$H$36</definedName>
    <definedName function="false" hidden="false" localSheetId="7" name="_xlnm.Print_Area" vbProcedure="false">Methodology!$A$1:$H$29</definedName>
    <definedName function="false" hidden="false" localSheetId="5" name="_xlnm.Print_Area" vbProcedure="false">Productivity!$A$1:$H$36</definedName>
    <definedName function="false" hidden="false" localSheetId="3" name="_xlnm.Print_Area" vbProcedure="false">'Revenue mix'!$A$1:$H$36</definedName>
    <definedName function="false" hidden="false" localSheetId="0" name="_xlnm.Print_Area" vbProcedure="false">'Source actuals'!$A$1:$H$36</definedName>
    <definedName function="false" hidden="false" localSheetId="6" name="_xlnm.Print_Area" vbProcedure="false">'Trends and commitments'!$A$1:$H$36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AstroDig Finance</author>
  </authors>
  <commentList>
    <comment ref="B8" authorId="0">
      <text>
        <r>
          <rPr>
            <sz val="10"/>
            <rFont val="Arial"/>
            <family val="2"/>
          </rPr>
          <t xml:space="preserve">Source: AstroDig operating ledger, 2013-04-15, Q1 2013, Recognized revenue.</t>
        </r>
      </text>
    </comment>
    <comment ref="B9" authorId="0">
      <text>
        <r>
          <rPr>
            <sz val="10"/>
            <rFont val="Arial"/>
            <family val="2"/>
          </rPr>
          <t xml:space="preserve">Source: AstroDig operating ledger, 2013-04-15, Q1 2013, Cost of goods sold.</t>
        </r>
      </text>
    </comment>
    <comment ref="B10" authorId="0">
      <text>
        <r>
          <rPr>
            <sz val="10"/>
            <rFont val="Arial"/>
            <family val="2"/>
          </rPr>
          <t xml:space="preserve">Source: AstroDig operating ledger, 2013-04-15, Q1 2013, Operating expenses.</t>
        </r>
      </text>
    </comment>
    <comment ref="B11" authorId="0">
      <text>
        <r>
          <rPr>
            <sz val="10"/>
            <rFont val="Arial"/>
            <family val="2"/>
          </rPr>
          <t xml:space="preserve">Source: AstroDig operating ledger, 2013-04-15, Q1 2013, Operating result.</t>
        </r>
      </text>
    </comment>
    <comment ref="B12" authorId="0">
      <text>
        <r>
          <rPr>
            <sz val="10"/>
            <rFont val="Arial"/>
            <family val="2"/>
          </rPr>
          <t xml:space="preserve">Source: AstroDig operating ledger, 2013-04-15, Q1 2013, Period-end headcount.</t>
        </r>
      </text>
    </comment>
    <comment ref="B13" authorId="0">
      <text>
        <r>
          <rPr>
            <sz val="10"/>
            <rFont val="Arial"/>
            <family val="2"/>
          </rPr>
          <t xml:space="preserve">Source: AstroDig operating ledger, 2013-04-15, Q1 2013, Engineering services.</t>
        </r>
      </text>
    </comment>
    <comment ref="B14" authorId="0">
      <text>
        <r>
          <rPr>
            <sz val="10"/>
            <rFont val="Arial"/>
            <family val="2"/>
          </rPr>
          <t xml:space="preserve">Source: AstroDig operating ledger, 2013-04-15, Q1 2013, Instrument development.</t>
        </r>
      </text>
    </comment>
    <comment ref="B15" authorId="0">
      <text>
        <r>
          <rPr>
            <sz val="10"/>
            <rFont val="Arial"/>
            <family val="2"/>
          </rPr>
          <t xml:space="preserve">Source: AstroDig operating ledger, 2013-04-15, Q1 2013, Mission analysis.</t>
        </r>
      </text>
    </comment>
    <comment ref="B16" authorId="0">
      <text>
        <r>
          <rPr>
            <sz val="10"/>
            <rFont val="Arial"/>
            <family val="2"/>
          </rPr>
          <t xml:space="preserve">Source: AstroDig operating ledger, 2013-04-15, Q1 2013, Research and development.</t>
        </r>
      </text>
    </comment>
    <comment ref="B17" authorId="0">
      <text>
        <r>
          <rPr>
            <sz val="10"/>
            <rFont val="Arial"/>
            <family val="2"/>
          </rPr>
          <t xml:space="preserve">Source: AstroDig operating ledger, 2013-04-15, Q1 2013, Program operations.</t>
        </r>
      </text>
    </comment>
    <comment ref="B18" authorId="0">
      <text>
        <r>
          <rPr>
            <sz val="10"/>
            <rFont val="Arial"/>
            <family val="2"/>
          </rPr>
          <t xml:space="preserve">Source: AstroDig operating ledger, 2013-04-15, Q1 2013, Corporate administration.</t>
        </r>
      </text>
    </comment>
    <comment ref="B19" authorId="0">
      <text>
        <r>
          <rPr>
            <sz val="10"/>
            <rFont val="Arial"/>
            <family val="2"/>
          </rPr>
          <t xml:space="preserve">Source: AstroDig operating ledger, 2013-04-15, Q1 2013, Contracted backlog.</t>
        </r>
      </text>
    </comment>
    <comment ref="B20" authorId="0">
      <text>
        <r>
          <rPr>
            <sz val="10"/>
            <rFont val="Arial"/>
            <family val="2"/>
          </rPr>
          <t xml:space="preserve">Source: AstroDig operating ledger, 2013-04-15, Q1 2013, Completed work packages.</t>
        </r>
      </text>
    </comment>
    <comment ref="B21" authorId="0">
      <text>
        <r>
          <rPr>
            <sz val="10"/>
            <rFont val="Arial"/>
            <family val="2"/>
          </rPr>
          <t xml:space="preserve">Source: AstroDig operating ledger, 2013-04-15, Q1 2013, Accepted reference runs.</t>
        </r>
      </text>
    </comment>
    <comment ref="B22" authorId="0">
      <text>
        <r>
          <rPr>
            <sz val="10"/>
            <rFont val="Arial"/>
            <family val="2"/>
          </rPr>
          <t xml:space="preserve">Source: AstroDig operating ledger, 2013-04-15, Q1 2013, Rejected reference runs.</t>
        </r>
      </text>
    </comment>
    <comment ref="E8" authorId="0">
      <text>
        <r>
          <rPr>
            <sz val="10"/>
            <rFont val="Arial"/>
            <family val="2"/>
          </rPr>
          <t xml:space="preserve">Source: AstroDig operating ledger, Q1 2013, Recognized revenue.</t>
        </r>
      </text>
    </comment>
    <comment ref="E9" authorId="0">
      <text>
        <r>
          <rPr>
            <sz val="10"/>
            <rFont val="Arial"/>
            <family val="2"/>
          </rPr>
          <t xml:space="preserve">Source: AstroDig operating ledger, Q1 2013, Cost of goods sold.</t>
        </r>
      </text>
    </comment>
    <comment ref="E10" authorId="0">
      <text>
        <r>
          <rPr>
            <sz val="10"/>
            <rFont val="Arial"/>
            <family val="2"/>
          </rPr>
          <t xml:space="preserve">Source: AstroDig operating ledger, Q1 2013, Operating expenses.</t>
        </r>
      </text>
    </comment>
    <comment ref="E11" authorId="0">
      <text>
        <r>
          <rPr>
            <sz val="10"/>
            <rFont val="Arial"/>
            <family val="2"/>
          </rPr>
          <t xml:space="preserve">Source: AstroDig operating ledger, Q1 2013, Operating result.</t>
        </r>
      </text>
    </comment>
    <comment ref="E12" authorId="0">
      <text>
        <r>
          <rPr>
            <sz val="10"/>
            <rFont val="Arial"/>
            <family val="2"/>
          </rPr>
          <t xml:space="preserve">Source: AstroDig operating ledger, Q1 2013, Period-end headcount.</t>
        </r>
      </text>
    </comment>
    <comment ref="E13" authorId="0">
      <text>
        <r>
          <rPr>
            <sz val="10"/>
            <rFont val="Arial"/>
            <family val="2"/>
          </rPr>
          <t xml:space="preserve">Source: AstroDig operating ledger, Q1 2013, Engineering services.</t>
        </r>
      </text>
    </comment>
    <comment ref="E14" authorId="0">
      <text>
        <r>
          <rPr>
            <sz val="10"/>
            <rFont val="Arial"/>
            <family val="2"/>
          </rPr>
          <t xml:space="preserve">Source: AstroDig operating ledger, Q1 2013, Instrument development.</t>
        </r>
      </text>
    </comment>
    <comment ref="E15" authorId="0">
      <text>
        <r>
          <rPr>
            <sz val="10"/>
            <rFont val="Arial"/>
            <family val="2"/>
          </rPr>
          <t xml:space="preserve">Source: AstroDig operating ledger, Q1 2013, Mission analysis.</t>
        </r>
      </text>
    </comment>
    <comment ref="E16" authorId="0">
      <text>
        <r>
          <rPr>
            <sz val="10"/>
            <rFont val="Arial"/>
            <family val="2"/>
          </rPr>
          <t xml:space="preserve">Source: AstroDig operating ledger, Q1 2013, Research and development.</t>
        </r>
      </text>
    </comment>
    <comment ref="E17" authorId="0">
      <text>
        <r>
          <rPr>
            <sz val="10"/>
            <rFont val="Arial"/>
            <family val="2"/>
          </rPr>
          <t xml:space="preserve">Source: AstroDig operating ledger, Q1 2013, Program operations.</t>
        </r>
      </text>
    </comment>
    <comment ref="E18" authorId="0">
      <text>
        <r>
          <rPr>
            <sz val="10"/>
            <rFont val="Arial"/>
            <family val="2"/>
          </rPr>
          <t xml:space="preserve">Source: AstroDig operating ledger, Q1 2013, Corporate administration.</t>
        </r>
      </text>
    </comment>
    <comment ref="E19" authorId="0">
      <text>
        <r>
          <rPr>
            <sz val="10"/>
            <rFont val="Arial"/>
            <family val="2"/>
          </rPr>
          <t xml:space="preserve">Source: AstroDig operating ledger, Q1 2013, Contracted backlog.</t>
        </r>
      </text>
    </comment>
    <comment ref="E20" authorId="0">
      <text>
        <r>
          <rPr>
            <sz val="10"/>
            <rFont val="Arial"/>
            <family val="2"/>
          </rPr>
          <t xml:space="preserve">Source: AstroDig operating ledger, Q1 2013, Completed work packages.</t>
        </r>
      </text>
    </comment>
    <comment ref="E21" authorId="0">
      <text>
        <r>
          <rPr>
            <sz val="10"/>
            <rFont val="Arial"/>
            <family val="2"/>
          </rPr>
          <t xml:space="preserve">Source: AstroDig operating ledger, Q1 2013, Accepted reference runs.</t>
        </r>
      </text>
    </comment>
    <comment ref="E22" authorId="0">
      <text>
        <r>
          <rPr>
            <sz val="10"/>
            <rFont val="Arial"/>
            <family val="2"/>
          </rPr>
          <t xml:space="preserve">Source: AstroDig operating ledger, Q1 2013, Rejected reference runs.</t>
        </r>
      </text>
    </comment>
  </commentList>
</comments>
</file>

<file path=xl/sharedStrings.xml><?xml version="1.0" encoding="utf-8"?>
<sst xmlns="http://schemas.openxmlformats.org/spreadsheetml/2006/main" count="159" uniqueCount="81">
  <si>
    <t xml:space="preserve">AstroDig LLC - Q1 2013 Operating Results</t>
  </si>
  <si>
    <t xml:space="preserve">Published 2013-04-15 | USD unless stated | Internal</t>
  </si>
  <si>
    <t xml:space="preserve">Q1 2013; period ended 2013-03-31. Company operating ledger and campaign register. Headcount and backlog are period-end snapshots.</t>
  </si>
  <si>
    <t xml:space="preserve">Measure</t>
  </si>
  <si>
    <t xml:space="preserve">Current period</t>
  </si>
  <si>
    <t xml:space="preserve">Units</t>
  </si>
  <si>
    <t xml:space="preserve">Available-quarter measure</t>
  </si>
  <si>
    <t xml:space="preserve">Q1 2013</t>
  </si>
  <si>
    <t xml:space="preserve">Recognized revenue</t>
  </si>
  <si>
    <t xml:space="preserve">USD</t>
  </si>
  <si>
    <t xml:space="preserve">Cost of goods sold</t>
  </si>
  <si>
    <t xml:space="preserve">Operating expenses</t>
  </si>
  <si>
    <t xml:space="preserve">Operating result</t>
  </si>
  <si>
    <t xml:space="preserve">Period-end headcount</t>
  </si>
  <si>
    <t xml:space="preserve">count</t>
  </si>
  <si>
    <t xml:space="preserve">Engineering services</t>
  </si>
  <si>
    <t xml:space="preserve">Instrument development</t>
  </si>
  <si>
    <t xml:space="preserve">Mission analysis</t>
  </si>
  <si>
    <t xml:space="preserve">Research and development</t>
  </si>
  <si>
    <t xml:space="preserve">Program operations</t>
  </si>
  <si>
    <t xml:space="preserve">Corporate administration</t>
  </si>
  <si>
    <t xml:space="preserve">Contracted backlog</t>
  </si>
  <si>
    <t xml:space="preserve">Completed work packages</t>
  </si>
  <si>
    <t xml:space="preserve">Accepted reference runs</t>
  </si>
  <si>
    <t xml:space="preserve">Rejected reference runs</t>
  </si>
  <si>
    <t xml:space="preserve">Recognize engineering and development revenue against accepted contracted work; do not recognize projected asteroid sales.</t>
  </si>
  <si>
    <t xml:space="preserve">Revenue is recognized against accepted contracted work. No forecast, cash balance, resource valuation, or projected asteroid-sales input is included.</t>
  </si>
  <si>
    <t xml:space="preserve">Income reconciliation</t>
  </si>
  <si>
    <t xml:space="preserve">Does recognized revenue cover delivery and operating costs?</t>
  </si>
  <si>
    <t xml:space="preserve">Value</t>
  </si>
  <si>
    <t xml:space="preserve">Check / share</t>
  </si>
  <si>
    <t xml:space="preserve">Derived operating result</t>
  </si>
  <si>
    <t xml:space="preserve">Reported operating result</t>
  </si>
  <si>
    <t xml:space="preserve">Reconciliation difference</t>
  </si>
  <si>
    <t xml:space="preserve">Operating result remains negative after both delivery costs and development spending; the reconciliation isolates the reported loss rather than presenting revenue as profit.</t>
  </si>
  <si>
    <t xml:space="preserve">Control: formulas link to source actuals; reconciliation checks must read RECONCILED. Ratios describe the reported period and do not constitute forecast or mission readiness.</t>
  </si>
  <si>
    <t xml:space="preserve">Margins and spending intensity</t>
  </si>
  <si>
    <t xml:space="preserve">How much revenue remains after delivery costs, and how much is consumed by operating spending?</t>
  </si>
  <si>
    <t xml:space="preserve">Revenue</t>
  </si>
  <si>
    <t xml:space="preserve">Gross profit</t>
  </si>
  <si>
    <t xml:space="preserve">Gross margin</t>
  </si>
  <si>
    <t xml:space="preserve">Operating margin</t>
  </si>
  <si>
    <t xml:space="preserve">Opex / revenue</t>
  </si>
  <si>
    <t xml:space="preserve">COGS / revenue</t>
  </si>
  <si>
    <t xml:space="preserve">Gross-margin balance check</t>
  </si>
  <si>
    <t xml:space="preserve">Gross margin and operating margin answer different questions. A positive delivery margin does not imply that the development program is self-financing.</t>
  </si>
  <si>
    <t xml:space="preserve">Service revenue mix</t>
  </si>
  <si>
    <t xml:space="preserve">Which contracted activities produce recognized revenue?</t>
  </si>
  <si>
    <t xml:space="preserve">Allocated total</t>
  </si>
  <si>
    <t xml:space="preserve">Reported total</t>
  </si>
  <si>
    <t xml:space="preserve">Allocation difference</t>
  </si>
  <si>
    <t xml:space="preserve">Engineering services, instrument development, and mission analysis sum to recognized revenue. No asteroid commodity-sales category is introduced.</t>
  </si>
  <si>
    <t xml:space="preserve">Operating cost allocation</t>
  </si>
  <si>
    <t xml:space="preserve">Where is development capacity being funded?</t>
  </si>
  <si>
    <t xml:space="preserve">Research and development, program operations, and corporate administration reconcile to operating expenses. The allocation makes the development priority visible without treating costs as capitalized assets.</t>
  </si>
  <si>
    <t xml:space="preserve">Workforce and delivery productivity</t>
  </si>
  <si>
    <t xml:space="preserve">What output is supported by the period-end workforce snapshot?</t>
  </si>
  <si>
    <t xml:space="preserve">Revenue / period-end employee</t>
  </si>
  <si>
    <t xml:space="preserve">Work packages / employee</t>
  </si>
  <si>
    <t xml:space="preserve">Total recorded runs</t>
  </si>
  <si>
    <t xml:space="preserve">Reference acceptance fraction</t>
  </si>
  <si>
    <t xml:space="preserve">Run-count reconciliation</t>
  </si>
  <si>
    <t xml:space="preserve">Revenue and completed work packages per period-end employee are descriptive operating ratios, not labor-efficiency guarantees. Headcount is a point-in-time measure and is not summed across quarters.</t>
  </si>
  <si>
    <t xml:space="preserve">Available-period trends and commitments</t>
  </si>
  <si>
    <t xml:space="preserve">How do available quarter results and contracted commitments relate?</t>
  </si>
  <si>
    <t xml:space="preserve">Quarter income difference</t>
  </si>
  <si>
    <t xml:space="preserve">Available-quarter revenue sum</t>
  </si>
  <si>
    <t xml:space="preserve">Comparison availability</t>
  </si>
  <si>
    <t xml:space="preserve">Founding-quarter baseline only</t>
  </si>
  <si>
    <t xml:space="preserve">Backlog interpretation</t>
  </si>
  <si>
    <t xml:space="preserve">Remaining work; not cash</t>
  </si>
  <si>
    <t xml:space="preserve">Quarter trends use only known periods. Backlog is a remaining-work snapshot, not cash or recognized revenue; rejected runs remain visible alongside accepted evidence.</t>
  </si>
  <si>
    <t xml:space="preserve">Methodology and evidence boundaries</t>
  </si>
  <si>
    <t xml:space="preserve">Period and recognized source actuals: USD; Q1 2013; period ended 2013-03-31. Revenue $120,000; COGS $45,600; opex $358,000; operating result $-283,600. Recognize engineering and development revenue against accepted contracted work; do not recognize projected asteroid sales.</t>
  </si>
  <si>
    <t xml:space="preserve">Income reconciliation: Does recognized revenue cover delivery and operating costs?
Operating result remains negative after both delivery costs and development spending; the reconciliation isolates the reported loss rather than presenting revenue as profit.</t>
  </si>
  <si>
    <t xml:space="preserve">Margins and spending intensity: How much revenue remains after delivery costs, and how much is consumed by operating spending?
Gross margin and operating margin answer different questions. A positive delivery margin does not imply that the development program is self-financing.</t>
  </si>
  <si>
    <t xml:space="preserve">Service revenue mix: Which contracted activities produce recognized revenue?
Engineering services, instrument development, and mission analysis sum to recognized revenue. No asteroid commodity-sales category is introduced.</t>
  </si>
  <si>
    <t xml:space="preserve">Operating cost allocation: Where is development capacity being funded?
Research and development, program operations, and corporate administration reconcile to operating expenses. The allocation makes the development priority visible without treating costs as capitalized assets.</t>
  </si>
  <si>
    <t xml:space="preserve">Workforce and delivery productivity: What output is supported by the period-end workforce snapshot?
Revenue and completed work packages per period-end employee are descriptive operating ratios, not labor-efficiency guarantees. Headcount is a point-in-time measure and is not summed across quarters.</t>
  </si>
  <si>
    <t xml:space="preserve">Available-period trends and commitments: How do available quarter results and contracted commitments relate?
Quarter trends use only known periods. Backlog is a remaining-work snapshot, not cash or recognized revenue; rejected runs remain visible alongside accepted evidence.</t>
  </si>
  <si>
    <t xml:space="preserve">Methodology and limitations: Establish traceable engineering baselines before committing to hardware. Principal risk: reference-data consistency. No hardware flight heritage exists. Continue the approved ground-development scope; no asteroid commodity revenue is included in the operating outlook. No forecast, balance sheet, liquidity estimate, resource valuation, or cash-flow conclusion is supplied. Formula-linked analyses use recognized USD amounts and period-end operating snapshots; changing source inputs updates the calculations without changing the stated business scope.</t>
  </si>
</sst>
</file>

<file path=xl/styles.xml><?xml version="1.0" encoding="utf-8"?>
<styleSheet xmlns="http://schemas.openxmlformats.org/spreadsheetml/2006/main">
  <numFmts count="5">
    <numFmt numFmtId="164" formatCode="General"/>
    <numFmt numFmtId="165" formatCode="\$#,##0;&quot;($&quot;#,##0\);\-"/>
    <numFmt numFmtId="166" formatCode="#,##0;\(#,##0\);\-"/>
    <numFmt numFmtId="167" formatCode="0.0%;\(0.0%\);\-"/>
    <numFmt numFmtId="168" formatCode="0.00"/>
  </numFmts>
  <fonts count="14">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10"/>
      <color rgb="FF53616A"/>
      <name val="Arial"/>
      <family val="0"/>
      <charset val="1"/>
    </font>
    <font>
      <sz val="11"/>
      <color rgb="FF18242D"/>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0"/>
      <name val="Arial"/>
      <family val="2"/>
    </font>
    <font>
      <sz val="11"/>
      <color rgb="FF008000"/>
      <name val="Arial"/>
      <family val="0"/>
      <charset val="1"/>
    </font>
    <font>
      <b val="true"/>
      <sz val="18"/>
      <color rgb="FF000000"/>
      <name val="Calibri"/>
      <family val="2"/>
    </font>
    <font>
      <sz val="10"/>
      <color rgb="FF000000"/>
      <name val="Calibri"/>
      <family val="2"/>
    </font>
  </fonts>
  <fills count="4">
    <fill>
      <patternFill patternType="none"/>
    </fill>
    <fill>
      <patternFill patternType="gray125"/>
    </fill>
    <fill>
      <patternFill patternType="solid">
        <fgColor rgb="FF18242D"/>
        <bgColor rgb="FF003300"/>
      </patternFill>
    </fill>
    <fill>
      <patternFill patternType="solid">
        <fgColor rgb="FFB5683A"/>
        <bgColor rgb="FF87878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1"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5683A"/>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3616A"/>
      <rgbColor rgb="FF969696"/>
      <rgbColor rgb="FF003366"/>
      <rgbColor rgb="FF339966"/>
      <rgbColor rgb="FF003300"/>
      <rgbColor rgb="FF333300"/>
      <rgbColor rgb="FF993300"/>
      <rgbColor rgb="FF993366"/>
      <rgbColor rgb="FF333399"/>
      <rgbColor rgb="FF1824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Recognized revenue mix</a:t>
            </a:r>
          </a:p>
        </c:rich>
      </c:tx>
      <c:overlay val="0"/>
      <c:spPr>
        <a:noFill/>
        <a:ln w="0">
          <a:noFill/>
        </a:ln>
      </c:spPr>
    </c:title>
    <c:autoTitleDeleted val="0"/>
    <c:plotArea>
      <c:barChart>
        <c:barDir val="col"/>
        <c:grouping val="clustered"/>
        <c:varyColors val="0"/>
        <c:ser>
          <c:idx val="0"/>
          <c:order val="0"/>
          <c:tx>
            <c:strRef>
              <c:f>'Revenue mix'!B7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'Revenue mix'!$A$8:$A$10</c:f>
              <c:strCache>
                <c:ptCount val="3"/>
                <c:pt idx="0">
                  <c:v>Engineering services</c:v>
                </c:pt>
                <c:pt idx="1">
                  <c:v>Instrument development</c:v>
                </c:pt>
                <c:pt idx="2">
                  <c:v>Mission analysis</c:v>
                </c:pt>
              </c:strCache>
            </c:strRef>
          </c:cat>
          <c:val>
            <c:numRef>
              <c:f>'Revenue mix'!$B$8:$B$10</c:f>
              <c:numCache>
                <c:formatCode>\$#,##0;"($"#,##0\);\-</c:formatCode>
                <c:ptCount val="3"/>
                <c:pt idx="0">
                  <c:v>90000</c:v>
                </c:pt>
                <c:pt idx="1">
                  <c:v>18000</c:v>
                </c:pt>
                <c:pt idx="2">
                  <c:v>12000</c:v>
                </c:pt>
              </c:numCache>
            </c:numRef>
          </c:val>
        </c:ser>
        <c:gapWidth val="150"/>
        <c:overlap val="0"/>
        <c:axId val="90563071"/>
        <c:axId val="1428855"/>
      </c:barChart>
      <c:catAx>
        <c:axId val="9056307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428855"/>
        <c:crosses val="autoZero"/>
        <c:auto val="1"/>
        <c:lblAlgn val="ctr"/>
        <c:lblOffset val="100"/>
        <c:noMultiLvlLbl val="0"/>
      </c:catAx>
      <c:valAx>
        <c:axId val="1428855"/>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0563071"/>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Operating expense allocation</a:t>
            </a:r>
          </a:p>
        </c:rich>
      </c:tx>
      <c:overlay val="0"/>
      <c:spPr>
        <a:noFill/>
        <a:ln w="0">
          <a:noFill/>
        </a:ln>
      </c:spPr>
    </c:title>
    <c:autoTitleDeleted val="0"/>
    <c:plotArea>
      <c:barChart>
        <c:barDir val="col"/>
        <c:grouping val="clustered"/>
        <c:varyColors val="0"/>
        <c:ser>
          <c:idx val="0"/>
          <c:order val="0"/>
          <c:tx>
            <c:strRef>
              <c:f>'Cost drivers'!B7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'Cost drivers'!$A$8:$A$10</c:f>
              <c:strCache>
                <c:ptCount val="3"/>
                <c:pt idx="0">
                  <c:v>Research and development</c:v>
                </c:pt>
                <c:pt idx="1">
                  <c:v>Program operations</c:v>
                </c:pt>
                <c:pt idx="2">
                  <c:v>Corporate administration</c:v>
                </c:pt>
              </c:strCache>
            </c:strRef>
          </c:cat>
          <c:val>
            <c:numRef>
              <c:f>'Cost drivers'!$B$8:$B$10</c:f>
              <c:numCache>
                <c:formatCode>\$#,##0;"($"#,##0\);\-</c:formatCode>
                <c:ptCount val="3"/>
                <c:pt idx="0">
                  <c:v>257760</c:v>
                </c:pt>
                <c:pt idx="1">
                  <c:v>64440</c:v>
                </c:pt>
                <c:pt idx="2">
                  <c:v>35800</c:v>
                </c:pt>
              </c:numCache>
            </c:numRef>
          </c:val>
        </c:ser>
        <c:gapWidth val="150"/>
        <c:overlap val="0"/>
        <c:axId val="45686660"/>
        <c:axId val="97041402"/>
      </c:barChart>
      <c:catAx>
        <c:axId val="4568666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7041402"/>
        <c:crosses val="autoZero"/>
        <c:auto val="1"/>
        <c:lblAlgn val="ctr"/>
        <c:lblOffset val="100"/>
        <c:noMultiLvlLbl val="0"/>
      </c:catAx>
      <c:valAx>
        <c:axId val="97041402"/>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5686660"/>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1"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2"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3" min="3" style="0" width="12"/>
    <col collapsed="false" customWidth="true" hidden="false" outlineLevel="0" max="4" min="4" style="0" width="33"/>
    <col collapsed="false" customWidth="true" hidden="false" outlineLevel="0" max="7" min="5" style="0" width="22"/>
    <col collapsed="false" customWidth="true" hidden="false" outlineLevel="0" max="8" min="8" style="0" width="19"/>
  </cols>
  <sheetData>
    <row r="1" customFormat="false" ht="24" hidden="false" customHeight="true" outlineLevel="0" collapsed="false">
      <c r="A1" s="1" t="s">
        <v>0</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45.75" hidden="false" customHeight="true" outlineLevel="0" collapsed="false">
      <c r="A5" s="3" t="s">
        <v>2</v>
      </c>
      <c r="B5" s="3"/>
      <c r="C5" s="3"/>
      <c r="D5" s="3"/>
      <c r="E5" s="3"/>
      <c r="F5" s="3"/>
      <c r="G5" s="3"/>
      <c r="H5" s="3"/>
    </row>
    <row r="7" customFormat="false" ht="22.5" hidden="false" customHeight="true" outlineLevel="0" collapsed="false">
      <c r="A7" s="4" t="s">
        <v>3</v>
      </c>
      <c r="B7" s="4" t="s">
        <v>4</v>
      </c>
      <c r="C7" s="4" t="s">
        <v>5</v>
      </c>
      <c r="D7" s="4" t="s">
        <v>6</v>
      </c>
      <c r="E7" s="4" t="s">
        <v>7</v>
      </c>
    </row>
    <row r="8" customFormat="false" ht="15" hidden="false" customHeight="false" outlineLevel="0" collapsed="false">
      <c r="A8" s="5" t="s">
        <v>8</v>
      </c>
      <c r="B8" s="6" t="n">
        <v>120000</v>
      </c>
      <c r="C8" s="7" t="s">
        <v>9</v>
      </c>
      <c r="D8" s="5" t="s">
        <v>8</v>
      </c>
      <c r="E8" s="6" t="n">
        <v>120000</v>
      </c>
    </row>
    <row r="9" customFormat="false" ht="15" hidden="false" customHeight="false" outlineLevel="0" collapsed="false">
      <c r="A9" s="5" t="s">
        <v>10</v>
      </c>
      <c r="B9" s="6" t="n">
        <v>45600</v>
      </c>
      <c r="C9" s="7" t="s">
        <v>9</v>
      </c>
      <c r="D9" s="5" t="s">
        <v>10</v>
      </c>
      <c r="E9" s="6" t="n">
        <v>45600</v>
      </c>
    </row>
    <row r="10" customFormat="false" ht="15" hidden="false" customHeight="false" outlineLevel="0" collapsed="false">
      <c r="A10" s="5" t="s">
        <v>11</v>
      </c>
      <c r="B10" s="6" t="n">
        <v>358000</v>
      </c>
      <c r="C10" s="7" t="s">
        <v>9</v>
      </c>
      <c r="D10" s="5" t="s">
        <v>11</v>
      </c>
      <c r="E10" s="6" t="n">
        <v>358000</v>
      </c>
    </row>
    <row r="11" customFormat="false" ht="15" hidden="false" customHeight="false" outlineLevel="0" collapsed="false">
      <c r="A11" s="5" t="s">
        <v>12</v>
      </c>
      <c r="B11" s="6" t="n">
        <v>-283600</v>
      </c>
      <c r="C11" s="7" t="s">
        <v>9</v>
      </c>
      <c r="D11" s="5" t="s">
        <v>12</v>
      </c>
      <c r="E11" s="6" t="n">
        <v>-283600</v>
      </c>
    </row>
    <row r="12" customFormat="false" ht="15" hidden="false" customHeight="false" outlineLevel="0" collapsed="false">
      <c r="A12" s="5" t="s">
        <v>13</v>
      </c>
      <c r="B12" s="8" t="n">
        <v>8</v>
      </c>
      <c r="C12" s="7" t="s">
        <v>14</v>
      </c>
      <c r="D12" s="5" t="s">
        <v>13</v>
      </c>
      <c r="E12" s="8" t="n">
        <v>8</v>
      </c>
    </row>
    <row r="13" customFormat="false" ht="15" hidden="false" customHeight="false" outlineLevel="0" collapsed="false">
      <c r="A13" s="5" t="s">
        <v>15</v>
      </c>
      <c r="B13" s="6" t="n">
        <v>90000</v>
      </c>
      <c r="C13" s="7" t="s">
        <v>9</v>
      </c>
      <c r="D13" s="5" t="s">
        <v>15</v>
      </c>
      <c r="E13" s="6" t="n">
        <v>90000</v>
      </c>
    </row>
    <row r="14" customFormat="false" ht="15" hidden="false" customHeight="false" outlineLevel="0" collapsed="false">
      <c r="A14" s="5" t="s">
        <v>16</v>
      </c>
      <c r="B14" s="6" t="n">
        <v>18000</v>
      </c>
      <c r="C14" s="7" t="s">
        <v>9</v>
      </c>
      <c r="D14" s="5" t="s">
        <v>16</v>
      </c>
      <c r="E14" s="6" t="n">
        <v>18000</v>
      </c>
    </row>
    <row r="15" customFormat="false" ht="15" hidden="false" customHeight="false" outlineLevel="0" collapsed="false">
      <c r="A15" s="5" t="s">
        <v>17</v>
      </c>
      <c r="B15" s="6" t="n">
        <v>12000</v>
      </c>
      <c r="C15" s="7" t="s">
        <v>9</v>
      </c>
      <c r="D15" s="5" t="s">
        <v>17</v>
      </c>
      <c r="E15" s="6" t="n">
        <v>12000</v>
      </c>
    </row>
    <row r="16" customFormat="false" ht="15" hidden="false" customHeight="false" outlineLevel="0" collapsed="false">
      <c r="A16" s="5" t="s">
        <v>18</v>
      </c>
      <c r="B16" s="6" t="n">
        <v>257760</v>
      </c>
      <c r="C16" s="7" t="s">
        <v>9</v>
      </c>
      <c r="D16" s="5" t="s">
        <v>18</v>
      </c>
      <c r="E16" s="6" t="n">
        <v>257760</v>
      </c>
    </row>
    <row r="17" customFormat="false" ht="15" hidden="false" customHeight="false" outlineLevel="0" collapsed="false">
      <c r="A17" s="5" t="s">
        <v>19</v>
      </c>
      <c r="B17" s="6" t="n">
        <v>64440</v>
      </c>
      <c r="C17" s="7" t="s">
        <v>9</v>
      </c>
      <c r="D17" s="5" t="s">
        <v>19</v>
      </c>
      <c r="E17" s="6" t="n">
        <v>64440</v>
      </c>
    </row>
    <row r="18" customFormat="false" ht="15" hidden="false" customHeight="false" outlineLevel="0" collapsed="false">
      <c r="A18" s="5" t="s">
        <v>20</v>
      </c>
      <c r="B18" s="6" t="n">
        <v>35800</v>
      </c>
      <c r="C18" s="7" t="s">
        <v>9</v>
      </c>
      <c r="D18" s="5" t="s">
        <v>20</v>
      </c>
      <c r="E18" s="6" t="n">
        <v>35800</v>
      </c>
    </row>
    <row r="19" customFormat="false" ht="15" hidden="false" customHeight="false" outlineLevel="0" collapsed="false">
      <c r="A19" s="5" t="s">
        <v>21</v>
      </c>
      <c r="B19" s="6" t="n">
        <v>720000</v>
      </c>
      <c r="C19" s="7" t="s">
        <v>9</v>
      </c>
      <c r="D19" s="5" t="s">
        <v>21</v>
      </c>
      <c r="E19" s="6" t="n">
        <v>720000</v>
      </c>
    </row>
    <row r="20" customFormat="false" ht="15" hidden="false" customHeight="false" outlineLevel="0" collapsed="false">
      <c r="A20" s="5" t="s">
        <v>22</v>
      </c>
      <c r="B20" s="8" t="n">
        <v>7</v>
      </c>
      <c r="C20" s="7" t="s">
        <v>14</v>
      </c>
      <c r="D20" s="5" t="s">
        <v>22</v>
      </c>
      <c r="E20" s="8" t="n">
        <v>7</v>
      </c>
    </row>
    <row r="21" customFormat="false" ht="15" hidden="false" customHeight="false" outlineLevel="0" collapsed="false">
      <c r="A21" s="5" t="s">
        <v>23</v>
      </c>
      <c r="B21" s="8" t="n">
        <v>15</v>
      </c>
      <c r="C21" s="7" t="s">
        <v>14</v>
      </c>
      <c r="D21" s="5" t="s">
        <v>23</v>
      </c>
      <c r="E21" s="8" t="n">
        <v>15</v>
      </c>
    </row>
    <row r="22" customFormat="false" ht="15" hidden="false" customHeight="false" outlineLevel="0" collapsed="false">
      <c r="A22" s="5" t="s">
        <v>24</v>
      </c>
      <c r="B22" s="8" t="n">
        <v>3</v>
      </c>
      <c r="C22" s="7" t="s">
        <v>14</v>
      </c>
      <c r="D22" s="5" t="s">
        <v>24</v>
      </c>
      <c r="E22" s="8" t="n">
        <v>3</v>
      </c>
    </row>
    <row r="25" customFormat="false" ht="39.75" hidden="false" customHeight="true" outlineLevel="0" collapsed="false">
      <c r="A25" s="3" t="s">
        <v>25</v>
      </c>
      <c r="B25" s="3"/>
      <c r="C25" s="3"/>
      <c r="D25" s="3"/>
      <c r="E25" s="3"/>
      <c r="F25" s="3"/>
      <c r="G25" s="3"/>
      <c r="H25" s="3"/>
    </row>
    <row r="28" customFormat="false" ht="39.75" hidden="false" customHeight="true" outlineLevel="0" collapsed="false">
      <c r="A28" s="3" t="s">
        <v>26</v>
      </c>
      <c r="B28" s="3"/>
      <c r="C28" s="3"/>
      <c r="D28" s="3"/>
      <c r="E28" s="3"/>
      <c r="F28" s="3"/>
      <c r="G28" s="3"/>
      <c r="H28" s="3"/>
    </row>
  </sheetData>
  <mergeCells count="4">
    <mergeCell ref="A1:H2"/>
    <mergeCell ref="A5:H5"/>
    <mergeCell ref="A25:H25"/>
    <mergeCell ref="A28:H28"/>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27</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28</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8</v>
      </c>
      <c r="B8" s="9" t="n">
        <f aca="false">'Source actuals'!B8</f>
        <v>120000</v>
      </c>
    </row>
    <row r="9" customFormat="false" ht="15" hidden="false" customHeight="false" outlineLevel="0" collapsed="false">
      <c r="A9" s="5" t="s">
        <v>10</v>
      </c>
      <c r="B9" s="9" t="n">
        <f aca="false">'Source actuals'!B9</f>
        <v>45600</v>
      </c>
    </row>
    <row r="10" customFormat="false" ht="15" hidden="false" customHeight="false" outlineLevel="0" collapsed="false">
      <c r="A10" s="5" t="s">
        <v>11</v>
      </c>
      <c r="B10" s="9" t="n">
        <f aca="false">'Source actuals'!B10</f>
        <v>358000</v>
      </c>
    </row>
    <row r="11" customFormat="false" ht="15" hidden="false" customHeight="false" outlineLevel="0" collapsed="false">
      <c r="A11" s="5" t="s">
        <v>31</v>
      </c>
      <c r="B11" s="10" t="n">
        <f aca="false">B8-B9-B10</f>
        <v>-283600</v>
      </c>
    </row>
    <row r="12" customFormat="false" ht="15" hidden="false" customHeight="false" outlineLevel="0" collapsed="false">
      <c r="A12" s="5" t="s">
        <v>32</v>
      </c>
      <c r="B12" s="9" t="n">
        <f aca="false">'Source actuals'!B11</f>
        <v>-283600</v>
      </c>
    </row>
    <row r="14" customFormat="false" ht="15" hidden="false" customHeight="false" outlineLevel="0" collapsed="false">
      <c r="A14" s="5" t="s">
        <v>33</v>
      </c>
      <c r="B14" s="10" t="n">
        <f aca="false">B11-B12</f>
        <v>0</v>
      </c>
      <c r="C14" s="5" t="str">
        <f aca="false">IF(B14=0,"RECONCILED","REVIEW")</f>
        <v>RECONCILED</v>
      </c>
    </row>
    <row r="26" customFormat="false" ht="60" hidden="false" customHeight="true" outlineLevel="0" collapsed="false">
      <c r="A26" s="3" t="s">
        <v>34</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36</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37</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38</v>
      </c>
      <c r="B8" s="9" t="n">
        <f aca="false">'Source actuals'!B8</f>
        <v>120000</v>
      </c>
    </row>
    <row r="9" customFormat="false" ht="15" hidden="false" customHeight="false" outlineLevel="0" collapsed="false">
      <c r="A9" s="5" t="s">
        <v>39</v>
      </c>
      <c r="B9" s="9" t="n">
        <f aca="false">'Source actuals'!B8-'Source actuals'!B9</f>
        <v>74400</v>
      </c>
    </row>
    <row r="10" customFormat="false" ht="15" hidden="false" customHeight="false" outlineLevel="0" collapsed="false">
      <c r="A10" s="5" t="s">
        <v>40</v>
      </c>
      <c r="B10" s="11" t="n">
        <f aca="false">IF(B8=0,0,B9/B8)</f>
        <v>0.62</v>
      </c>
    </row>
    <row r="11" customFormat="false" ht="15" hidden="false" customHeight="false" outlineLevel="0" collapsed="false">
      <c r="A11" s="5" t="s">
        <v>41</v>
      </c>
      <c r="B11" s="12" t="n">
        <f aca="false">IF(B8=0,0,'Source actuals'!B11/B8)</f>
        <v>-2.36333333333333</v>
      </c>
    </row>
    <row r="12" customFormat="false" ht="15" hidden="false" customHeight="false" outlineLevel="0" collapsed="false">
      <c r="A12" s="5" t="s">
        <v>42</v>
      </c>
      <c r="B12" s="12" t="n">
        <f aca="false">IF(B8=0,0,'Source actuals'!B10/B8)</f>
        <v>2.98333333333333</v>
      </c>
    </row>
    <row r="13" customFormat="false" ht="15" hidden="false" customHeight="false" outlineLevel="0" collapsed="false">
      <c r="A13" s="5" t="s">
        <v>43</v>
      </c>
      <c r="B13" s="12" t="n">
        <f aca="false">IF(B8=0,0,'Source actuals'!B9/B8)</f>
        <v>0.38</v>
      </c>
    </row>
    <row r="15" customFormat="false" ht="15" hidden="false" customHeight="false" outlineLevel="0" collapsed="false">
      <c r="A15" s="5" t="s">
        <v>44</v>
      </c>
      <c r="B15" s="11" t="n">
        <f aca="false">B10+B13-1</f>
        <v>0</v>
      </c>
      <c r="C15" s="5" t="str">
        <f aca="false">IF(ABS(B15)&lt;0.000001,"RECONCILED","REVIEW")</f>
        <v>RECONCILED</v>
      </c>
    </row>
    <row r="26" customFormat="false" ht="60" hidden="false" customHeight="true" outlineLevel="0" collapsed="false">
      <c r="A26" s="3" t="s">
        <v>45</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46</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47</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15</v>
      </c>
      <c r="B8" s="9" t="n">
        <f aca="false">'Source actuals'!B13</f>
        <v>90000</v>
      </c>
      <c r="C8" s="11" t="n">
        <f aca="false">IF(B11=0,0,B8/B11)</f>
        <v>0.75</v>
      </c>
    </row>
    <row r="9" customFormat="false" ht="15" hidden="false" customHeight="false" outlineLevel="0" collapsed="false">
      <c r="A9" s="5" t="s">
        <v>16</v>
      </c>
      <c r="B9" s="9" t="n">
        <f aca="false">'Source actuals'!B14</f>
        <v>18000</v>
      </c>
      <c r="C9" s="11" t="n">
        <f aca="false">IF(B11=0,0,B9/B11)</f>
        <v>0.15</v>
      </c>
    </row>
    <row r="10" customFormat="false" ht="15" hidden="false" customHeight="false" outlineLevel="0" collapsed="false">
      <c r="A10" s="5" t="s">
        <v>17</v>
      </c>
      <c r="B10" s="9" t="n">
        <f aca="false">'Source actuals'!B15</f>
        <v>12000</v>
      </c>
      <c r="C10" s="11" t="n">
        <f aca="false">IF(B11=0,0,B10/B11)</f>
        <v>0.1</v>
      </c>
    </row>
    <row r="11" customFormat="false" ht="15" hidden="false" customHeight="false" outlineLevel="0" collapsed="false">
      <c r="A11" s="5" t="s">
        <v>48</v>
      </c>
      <c r="B11" s="10" t="n">
        <f aca="false">SUM(B8:B10)</f>
        <v>120000</v>
      </c>
      <c r="C11" s="11" t="n">
        <f aca="false">SUM(C8:C10)</f>
        <v>1</v>
      </c>
    </row>
    <row r="12" customFormat="false" ht="15" hidden="false" customHeight="false" outlineLevel="0" collapsed="false">
      <c r="A12" s="5" t="s">
        <v>49</v>
      </c>
      <c r="B12" s="9" t="n">
        <f aca="false">'Source actuals'!B8</f>
        <v>120000</v>
      </c>
    </row>
    <row r="14" customFormat="false" ht="15" hidden="false" customHeight="false" outlineLevel="0" collapsed="false">
      <c r="A14" s="5" t="s">
        <v>50</v>
      </c>
      <c r="B14" s="10" t="n">
        <f aca="false">B11-B12</f>
        <v>0</v>
      </c>
      <c r="C14" s="5" t="str">
        <f aca="false">IF(B14=0,"RECONCILED","REVIEW")</f>
        <v>RECONCILED</v>
      </c>
    </row>
    <row r="26" customFormat="false" ht="60" hidden="false" customHeight="true" outlineLevel="0" collapsed="false">
      <c r="A26" s="3" t="s">
        <v>51</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53</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18</v>
      </c>
      <c r="B8" s="9" t="n">
        <f aca="false">'Source actuals'!B16</f>
        <v>257760</v>
      </c>
      <c r="C8" s="11" t="n">
        <f aca="false">IF(B11=0,0,B8/B11)</f>
        <v>0.72</v>
      </c>
    </row>
    <row r="9" customFormat="false" ht="15" hidden="false" customHeight="false" outlineLevel="0" collapsed="false">
      <c r="A9" s="5" t="s">
        <v>19</v>
      </c>
      <c r="B9" s="9" t="n">
        <f aca="false">'Source actuals'!B17</f>
        <v>64440</v>
      </c>
      <c r="C9" s="11" t="n">
        <f aca="false">IF(B11=0,0,B9/B11)</f>
        <v>0.18</v>
      </c>
    </row>
    <row r="10" customFormat="false" ht="15" hidden="false" customHeight="false" outlineLevel="0" collapsed="false">
      <c r="A10" s="5" t="s">
        <v>20</v>
      </c>
      <c r="B10" s="9" t="n">
        <f aca="false">'Source actuals'!B18</f>
        <v>35800</v>
      </c>
      <c r="C10" s="11" t="n">
        <f aca="false">IF(B11=0,0,B10/B11)</f>
        <v>0.1</v>
      </c>
    </row>
    <row r="11" customFormat="false" ht="15" hidden="false" customHeight="false" outlineLevel="0" collapsed="false">
      <c r="A11" s="5" t="s">
        <v>48</v>
      </c>
      <c r="B11" s="10" t="n">
        <f aca="false">SUM(B8:B10)</f>
        <v>358000</v>
      </c>
      <c r="C11" s="11" t="n">
        <f aca="false">SUM(C8:C10)</f>
        <v>1</v>
      </c>
    </row>
    <row r="12" customFormat="false" ht="15" hidden="false" customHeight="false" outlineLevel="0" collapsed="false">
      <c r="A12" s="5" t="s">
        <v>49</v>
      </c>
      <c r="B12" s="9" t="n">
        <f aca="false">'Source actuals'!B10</f>
        <v>358000</v>
      </c>
    </row>
    <row r="14" customFormat="false" ht="15" hidden="false" customHeight="false" outlineLevel="0" collapsed="false">
      <c r="A14" s="5" t="s">
        <v>50</v>
      </c>
      <c r="B14" s="10" t="n">
        <f aca="false">B11-B12</f>
        <v>0</v>
      </c>
      <c r="C14" s="5" t="str">
        <f aca="false">IF(B14=0,"RECONCILED","REVIEW")</f>
        <v>RECONCILED</v>
      </c>
    </row>
    <row r="26" customFormat="false" ht="60" hidden="false" customHeight="true" outlineLevel="0" collapsed="false">
      <c r="A26" s="3" t="s">
        <v>54</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55</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56</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13</v>
      </c>
      <c r="B8" s="13" t="n">
        <f aca="false">'Source actuals'!B12</f>
        <v>8</v>
      </c>
    </row>
    <row r="9" customFormat="false" ht="15" hidden="false" customHeight="false" outlineLevel="0" collapsed="false">
      <c r="A9" s="5" t="s">
        <v>57</v>
      </c>
      <c r="B9" s="9" t="n">
        <f aca="false">'Source actuals'!B8/B8</f>
        <v>15000</v>
      </c>
    </row>
    <row r="10" customFormat="false" ht="15" hidden="false" customHeight="false" outlineLevel="0" collapsed="false">
      <c r="A10" s="5" t="s">
        <v>22</v>
      </c>
      <c r="B10" s="13" t="n">
        <f aca="false">'Source actuals'!B20</f>
        <v>7</v>
      </c>
    </row>
    <row r="11" customFormat="false" ht="15" hidden="false" customHeight="false" outlineLevel="0" collapsed="false">
      <c r="A11" s="5" t="s">
        <v>58</v>
      </c>
      <c r="B11" s="14" t="n">
        <f aca="false">B10/B8</f>
        <v>0.875</v>
      </c>
    </row>
    <row r="12" customFormat="false" ht="15" hidden="false" customHeight="false" outlineLevel="0" collapsed="false">
      <c r="A12" s="5" t="s">
        <v>23</v>
      </c>
      <c r="B12" s="13" t="n">
        <f aca="false">'Source actuals'!B21</f>
        <v>15</v>
      </c>
    </row>
    <row r="13" customFormat="false" ht="15" hidden="false" customHeight="false" outlineLevel="0" collapsed="false">
      <c r="A13" s="5" t="s">
        <v>24</v>
      </c>
      <c r="B13" s="13" t="n">
        <f aca="false">'Source actuals'!B22</f>
        <v>3</v>
      </c>
    </row>
    <row r="14" customFormat="false" ht="15" hidden="false" customHeight="false" outlineLevel="0" collapsed="false">
      <c r="A14" s="5" t="s">
        <v>59</v>
      </c>
      <c r="B14" s="15" t="n">
        <f aca="false">SUM(B12:B13)</f>
        <v>18</v>
      </c>
    </row>
    <row r="15" customFormat="false" ht="15" hidden="false" customHeight="false" outlineLevel="0" collapsed="false">
      <c r="A15" s="5" t="s">
        <v>60</v>
      </c>
      <c r="B15" s="11" t="n">
        <f aca="false">IF(B14=0,0,B12/B14)</f>
        <v>0.833333333333333</v>
      </c>
    </row>
    <row r="17" customFormat="false" ht="15" hidden="false" customHeight="false" outlineLevel="0" collapsed="false">
      <c r="A17" s="5" t="s">
        <v>61</v>
      </c>
      <c r="B17" s="15" t="n">
        <f aca="false">B14-B12-B13</f>
        <v>0</v>
      </c>
      <c r="C17" s="5" t="str">
        <f aca="false">IF(B17=0,"RECONCILED","REVIEW")</f>
        <v>RECONCILED</v>
      </c>
    </row>
    <row r="26" customFormat="false" ht="60" hidden="false" customHeight="true" outlineLevel="0" collapsed="false">
      <c r="A26" s="3" t="s">
        <v>62</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63</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64</v>
      </c>
      <c r="B5" s="3"/>
      <c r="C5" s="3"/>
      <c r="D5" s="3"/>
      <c r="E5" s="3"/>
      <c r="F5" s="3"/>
      <c r="G5" s="3"/>
      <c r="H5" s="3"/>
    </row>
    <row r="7" customFormat="false" ht="22.5" hidden="false" customHeight="true" outlineLevel="0" collapsed="false">
      <c r="A7" s="4" t="s">
        <v>3</v>
      </c>
      <c r="B7" s="4" t="s">
        <v>7</v>
      </c>
      <c r="C7" s="4" t="s">
        <v>30</v>
      </c>
    </row>
    <row r="8" customFormat="false" ht="15" hidden="false" customHeight="false" outlineLevel="0" collapsed="false">
      <c r="A8" s="5" t="s">
        <v>8</v>
      </c>
      <c r="B8" s="9" t="n">
        <f aca="false">'Source actuals'!E8</f>
        <v>120000</v>
      </c>
    </row>
    <row r="9" customFormat="false" ht="15" hidden="false" customHeight="false" outlineLevel="0" collapsed="false">
      <c r="A9" s="5" t="s">
        <v>10</v>
      </c>
      <c r="B9" s="9" t="n">
        <f aca="false">'Source actuals'!E9</f>
        <v>45600</v>
      </c>
    </row>
    <row r="10" customFormat="false" ht="15" hidden="false" customHeight="false" outlineLevel="0" collapsed="false">
      <c r="A10" s="5" t="s">
        <v>11</v>
      </c>
      <c r="B10" s="9" t="n">
        <f aca="false">'Source actuals'!E10</f>
        <v>358000</v>
      </c>
    </row>
    <row r="11" customFormat="false" ht="15" hidden="false" customHeight="false" outlineLevel="0" collapsed="false">
      <c r="A11" s="5" t="s">
        <v>12</v>
      </c>
      <c r="B11" s="9" t="n">
        <f aca="false">'Source actuals'!E11</f>
        <v>-283600</v>
      </c>
    </row>
    <row r="12" customFormat="false" ht="15" hidden="false" customHeight="false" outlineLevel="0" collapsed="false">
      <c r="A12" s="5" t="s">
        <v>21</v>
      </c>
      <c r="B12" s="9" t="n">
        <f aca="false">'Source actuals'!E19</f>
        <v>720000</v>
      </c>
    </row>
    <row r="13" customFormat="false" ht="15" hidden="false" customHeight="false" outlineLevel="0" collapsed="false">
      <c r="A13" s="5" t="s">
        <v>13</v>
      </c>
      <c r="B13" s="13" t="n">
        <f aca="false">'Source actuals'!E12</f>
        <v>8</v>
      </c>
    </row>
    <row r="15" customFormat="false" ht="15" hidden="false" customHeight="false" outlineLevel="0" collapsed="false">
      <c r="A15" s="5" t="s">
        <v>65</v>
      </c>
      <c r="B15" s="10" t="n">
        <f aca="false">B8-B9-B10-B11</f>
        <v>0</v>
      </c>
    </row>
    <row r="16" customFormat="false" ht="15" hidden="false" customHeight="false" outlineLevel="0" collapsed="false">
      <c r="B16" s="5" t="str">
        <f aca="false">IF(B15=0,"RECONCILED","REVIEW")</f>
        <v>RECONCILED</v>
      </c>
    </row>
    <row r="18" customFormat="false" ht="15" hidden="false" customHeight="false" outlineLevel="0" collapsed="false">
      <c r="A18" s="5" t="s">
        <v>66</v>
      </c>
      <c r="B18" s="10" t="n">
        <f aca="false">SUM(B8)</f>
        <v>120000</v>
      </c>
    </row>
    <row r="19" customFormat="false" ht="15" hidden="false" customHeight="false" outlineLevel="0" collapsed="false">
      <c r="A19" s="5" t="s">
        <v>67</v>
      </c>
      <c r="B19" s="5" t="s">
        <v>68</v>
      </c>
    </row>
    <row r="21" customFormat="false" ht="15" hidden="false" customHeight="false" outlineLevel="0" collapsed="false">
      <c r="A21" s="5" t="s">
        <v>69</v>
      </c>
      <c r="B21" s="5" t="s">
        <v>70</v>
      </c>
    </row>
    <row r="26" customFormat="false" ht="60" hidden="false" customHeight="true" outlineLevel="0" collapsed="false">
      <c r="A26" s="3" t="s">
        <v>71</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61.5" hidden="false" customHeight="true" outlineLevel="0" collapsed="false">
      <c r="A5" s="3" t="s">
        <v>73</v>
      </c>
      <c r="B5" s="3"/>
      <c r="C5" s="3"/>
      <c r="D5" s="3"/>
      <c r="E5" s="3"/>
      <c r="F5" s="3"/>
      <c r="G5" s="3"/>
      <c r="H5" s="3"/>
    </row>
    <row r="7" customFormat="false" ht="22.5" hidden="false" customHeight="true" outlineLevel="0" collapsed="false"/>
    <row r="8" customFormat="false" ht="61.5" hidden="false" customHeight="true" outlineLevel="0" collapsed="false">
      <c r="A8" s="3" t="s">
        <v>74</v>
      </c>
      <c r="B8" s="3"/>
      <c r="C8" s="3"/>
      <c r="D8" s="3"/>
      <c r="E8" s="3"/>
      <c r="F8" s="3"/>
      <c r="G8" s="3"/>
      <c r="H8" s="3"/>
    </row>
    <row r="11" customFormat="false" ht="61.5" hidden="false" customHeight="true" outlineLevel="0" collapsed="false">
      <c r="A11" s="3" t="s">
        <v>75</v>
      </c>
      <c r="B11" s="3"/>
      <c r="C11" s="3"/>
      <c r="D11" s="3"/>
      <c r="E11" s="3"/>
      <c r="F11" s="3"/>
      <c r="G11" s="3"/>
      <c r="H11" s="3"/>
    </row>
    <row r="14" customFormat="false" ht="61.5" hidden="false" customHeight="true" outlineLevel="0" collapsed="false">
      <c r="A14" s="3" t="s">
        <v>76</v>
      </c>
      <c r="B14" s="3"/>
      <c r="C14" s="3"/>
      <c r="D14" s="3"/>
      <c r="E14" s="3"/>
      <c r="F14" s="3"/>
      <c r="G14" s="3"/>
      <c r="H14" s="3"/>
    </row>
    <row r="17" customFormat="false" ht="61.5" hidden="false" customHeight="true" outlineLevel="0" collapsed="false">
      <c r="A17" s="3" t="s">
        <v>77</v>
      </c>
      <c r="B17" s="3"/>
      <c r="C17" s="3"/>
      <c r="D17" s="3"/>
      <c r="E17" s="3"/>
      <c r="F17" s="3"/>
      <c r="G17" s="3"/>
      <c r="H17" s="3"/>
    </row>
    <row r="20" customFormat="false" ht="61.5" hidden="false" customHeight="true" outlineLevel="0" collapsed="false">
      <c r="A20" s="3" t="s">
        <v>78</v>
      </c>
      <c r="B20" s="3"/>
      <c r="C20" s="3"/>
      <c r="D20" s="3"/>
      <c r="E20" s="3"/>
      <c r="F20" s="3"/>
      <c r="G20" s="3"/>
      <c r="H20" s="3"/>
    </row>
    <row r="23" customFormat="false" ht="61.5" hidden="false" customHeight="true" outlineLevel="0" collapsed="false">
      <c r="A23" s="3" t="s">
        <v>79</v>
      </c>
      <c r="B23" s="3"/>
      <c r="C23" s="3"/>
      <c r="D23" s="3"/>
      <c r="E23" s="3"/>
      <c r="F23" s="3"/>
      <c r="G23" s="3"/>
      <c r="H23" s="3"/>
    </row>
    <row r="26" customFormat="false" ht="61.5" hidden="false" customHeight="true" outlineLevel="0" collapsed="false">
      <c r="A26" s="3" t="s">
        <v>80</v>
      </c>
      <c r="B26" s="3"/>
      <c r="C26" s="3"/>
      <c r="D26" s="3"/>
      <c r="E26" s="3"/>
      <c r="F26" s="3"/>
      <c r="G26" s="3"/>
      <c r="H26" s="3"/>
    </row>
  </sheetData>
  <mergeCells count="9">
    <mergeCell ref="A1:H2"/>
    <mergeCell ref="A5:H5"/>
    <mergeCell ref="A8:H8"/>
    <mergeCell ref="A11:H11"/>
    <mergeCell ref="A14:H14"/>
    <mergeCell ref="A17:H17"/>
    <mergeCell ref="A20:H20"/>
    <mergeCell ref="A23:H23"/>
    <mergeCell ref="A26:H26"/>
  </mergeCells>
  <printOptions headings="false" gridLines="false" gridLinesSet="true" horizontalCentered="true" verticalCentered="false"/>
  <pageMargins left="0.75" right="0.75" top="1" bottom="1" header="0.511811023622047" footer="0.5"/>
  <pageSetup paperSize="9" scale="100" fitToWidth="1" fitToHeight="2"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2026-10-08T21:36:33Z</dcterms:created>
  <dc:creator>AstroDig LLC</dc:creator>
  <dc:description/>
  <dc:language>en-US</dc:language>
  <cp:lastModifiedBy/>
  <dcterms:modified xsi:type="dcterms:W3CDTF">2026-10-08T21:36:33Z</dcterms:modified>
  <cp:revision>0</cp:revision>
  <dc:subject>USD operating performance</dc:subject>
  <dc:title>AstroDig LLC - Q1 2013 Operating Results</dc:title>
</cp:coreProperties>
</file>

<file path=docProps/custom.xml><?xml version="1.0" encoding="utf-8"?>
<Properties xmlns="http://schemas.openxmlformats.org/officeDocument/2006/custom-properties" xmlns:vt="http://schemas.openxmlformats.org/officeDocument/2006/docPropsVTypes"/>
</file>