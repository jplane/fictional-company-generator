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2018-07-15, Q2 2018, Recognized revenue.</t>
        </r>
      </text>
    </comment>
    <comment ref="B9" authorId="0">
      <text>
        <r>
          <rPr>
            <sz val="10"/>
            <rFont val="Arial"/>
            <family val="2"/>
          </rPr>
          <t xml:space="preserve">Source: AstroDig operating ledger, 2018-07-15, Q2 2018, Cost of goods sold.</t>
        </r>
      </text>
    </comment>
    <comment ref="B10" authorId="0">
      <text>
        <r>
          <rPr>
            <sz val="10"/>
            <rFont val="Arial"/>
            <family val="2"/>
          </rPr>
          <t xml:space="preserve">Source: AstroDig operating ledger, 2018-07-15, Q2 2018, Operating expenses.</t>
        </r>
      </text>
    </comment>
    <comment ref="B11" authorId="0">
      <text>
        <r>
          <rPr>
            <sz val="10"/>
            <rFont val="Arial"/>
            <family val="2"/>
          </rPr>
          <t xml:space="preserve">Source: AstroDig operating ledger, 2018-07-15, Q2 2018, Operating result.</t>
        </r>
      </text>
    </comment>
    <comment ref="B12" authorId="0">
      <text>
        <r>
          <rPr>
            <sz val="10"/>
            <rFont val="Arial"/>
            <family val="2"/>
          </rPr>
          <t xml:space="preserve">Source: AstroDig operating ledger, 2018-07-15, Q2 2018, Period-end headcount.</t>
        </r>
      </text>
    </comment>
    <comment ref="B13" authorId="0">
      <text>
        <r>
          <rPr>
            <sz val="10"/>
            <rFont val="Arial"/>
            <family val="2"/>
          </rPr>
          <t xml:space="preserve">Source: AstroDig operating ledger, 2018-07-15, Q2 2018, Engineering services.</t>
        </r>
      </text>
    </comment>
    <comment ref="B14" authorId="0">
      <text>
        <r>
          <rPr>
            <sz val="10"/>
            <rFont val="Arial"/>
            <family val="2"/>
          </rPr>
          <t xml:space="preserve">Source: AstroDig operating ledger, 2018-07-15, Q2 2018, Instrument development.</t>
        </r>
      </text>
    </comment>
    <comment ref="B15" authorId="0">
      <text>
        <r>
          <rPr>
            <sz val="10"/>
            <rFont val="Arial"/>
            <family val="2"/>
          </rPr>
          <t xml:space="preserve">Source: AstroDig operating ledger, 2018-07-15, Q2 2018, Mission analysis.</t>
        </r>
      </text>
    </comment>
    <comment ref="B16" authorId="0">
      <text>
        <r>
          <rPr>
            <sz val="10"/>
            <rFont val="Arial"/>
            <family val="2"/>
          </rPr>
          <t xml:space="preserve">Source: AstroDig operating ledger, 2018-07-15, Q2 2018, Research and development.</t>
        </r>
      </text>
    </comment>
    <comment ref="B17" authorId="0">
      <text>
        <r>
          <rPr>
            <sz val="10"/>
            <rFont val="Arial"/>
            <family val="2"/>
          </rPr>
          <t xml:space="preserve">Source: AstroDig operating ledger, 2018-07-15, Q2 2018, Program operations.</t>
        </r>
      </text>
    </comment>
    <comment ref="B18" authorId="0">
      <text>
        <r>
          <rPr>
            <sz val="10"/>
            <rFont val="Arial"/>
            <family val="2"/>
          </rPr>
          <t xml:space="preserve">Source: AstroDig operating ledger, 2018-07-15, Q2 2018, Corporate administration.</t>
        </r>
      </text>
    </comment>
    <comment ref="B19" authorId="0">
      <text>
        <r>
          <rPr>
            <sz val="10"/>
            <rFont val="Arial"/>
            <family val="2"/>
          </rPr>
          <t xml:space="preserve">Source: AstroDig operating ledger, 2018-07-15, Q2 2018, Contracted backlog.</t>
        </r>
      </text>
    </comment>
    <comment ref="B20" authorId="0">
      <text>
        <r>
          <rPr>
            <sz val="10"/>
            <rFont val="Arial"/>
            <family val="2"/>
          </rPr>
          <t xml:space="preserve">Source: AstroDig operating ledger, 2018-07-15, Q2 2018, Completed work packages.</t>
        </r>
      </text>
    </comment>
    <comment ref="B21" authorId="0">
      <text>
        <r>
          <rPr>
            <sz val="10"/>
            <rFont val="Arial"/>
            <family val="2"/>
          </rPr>
          <t xml:space="preserve">Source: AstroDig operating ledger, 2018-07-15, Q2 2018, Accepted reference runs.</t>
        </r>
      </text>
    </comment>
    <comment ref="B22" authorId="0">
      <text>
        <r>
          <rPr>
            <sz val="10"/>
            <rFont val="Arial"/>
            <family val="2"/>
          </rPr>
          <t xml:space="preserve">Source: AstroDig operating ledger, 2018-07-15, Q2 2018, Rejected reference runs.</t>
        </r>
      </text>
    </comment>
    <comment ref="E8" authorId="0">
      <text>
        <r>
          <rPr>
            <sz val="10"/>
            <rFont val="Arial"/>
            <family val="2"/>
          </rPr>
          <t xml:space="preserve">Source: AstroDig operating ledger, Q1 2018, Recognized revenue.</t>
        </r>
      </text>
    </comment>
    <comment ref="E9" authorId="0">
      <text>
        <r>
          <rPr>
            <sz val="10"/>
            <rFont val="Arial"/>
            <family val="2"/>
          </rPr>
          <t xml:space="preserve">Source: AstroDig operating ledger, Q1 2018, Cost of goods sold.</t>
        </r>
      </text>
    </comment>
    <comment ref="E10" authorId="0">
      <text>
        <r>
          <rPr>
            <sz val="10"/>
            <rFont val="Arial"/>
            <family val="2"/>
          </rPr>
          <t xml:space="preserve">Source: AstroDig operating ledger, Q1 2018, Operating expenses.</t>
        </r>
      </text>
    </comment>
    <comment ref="E11" authorId="0">
      <text>
        <r>
          <rPr>
            <sz val="10"/>
            <rFont val="Arial"/>
            <family val="2"/>
          </rPr>
          <t xml:space="preserve">Source: AstroDig operating ledger, Q1 2018, Operating result.</t>
        </r>
      </text>
    </comment>
    <comment ref="E12" authorId="0">
      <text>
        <r>
          <rPr>
            <sz val="10"/>
            <rFont val="Arial"/>
            <family val="2"/>
          </rPr>
          <t xml:space="preserve">Source: AstroDig operating ledger, Q1 2018, Period-end headcount.</t>
        </r>
      </text>
    </comment>
    <comment ref="E13" authorId="0">
      <text>
        <r>
          <rPr>
            <sz val="10"/>
            <rFont val="Arial"/>
            <family val="2"/>
          </rPr>
          <t xml:space="preserve">Source: AstroDig operating ledger, Q1 2018, Engineering services.</t>
        </r>
      </text>
    </comment>
    <comment ref="E14" authorId="0">
      <text>
        <r>
          <rPr>
            <sz val="10"/>
            <rFont val="Arial"/>
            <family val="2"/>
          </rPr>
          <t xml:space="preserve">Source: AstroDig operating ledger, Q1 2018, Instrument development.</t>
        </r>
      </text>
    </comment>
    <comment ref="E15" authorId="0">
      <text>
        <r>
          <rPr>
            <sz val="10"/>
            <rFont val="Arial"/>
            <family val="2"/>
          </rPr>
          <t xml:space="preserve">Source: AstroDig operating ledger, Q1 2018, Mission analysis.</t>
        </r>
      </text>
    </comment>
    <comment ref="E16" authorId="0">
      <text>
        <r>
          <rPr>
            <sz val="10"/>
            <rFont val="Arial"/>
            <family val="2"/>
          </rPr>
          <t xml:space="preserve">Source: AstroDig operating ledger, Q1 2018, Research and development.</t>
        </r>
      </text>
    </comment>
    <comment ref="E17" authorId="0">
      <text>
        <r>
          <rPr>
            <sz val="10"/>
            <rFont val="Arial"/>
            <family val="2"/>
          </rPr>
          <t xml:space="preserve">Source: AstroDig operating ledger, Q1 2018, Program operations.</t>
        </r>
      </text>
    </comment>
    <comment ref="E18" authorId="0">
      <text>
        <r>
          <rPr>
            <sz val="10"/>
            <rFont val="Arial"/>
            <family val="2"/>
          </rPr>
          <t xml:space="preserve">Source: AstroDig operating ledger, Q1 2018, Corporate administration.</t>
        </r>
      </text>
    </comment>
    <comment ref="E19" authorId="0">
      <text>
        <r>
          <rPr>
            <sz val="10"/>
            <rFont val="Arial"/>
            <family val="2"/>
          </rPr>
          <t xml:space="preserve">Source: AstroDig operating ledger, Q1 2018, Contracted backlog.</t>
        </r>
      </text>
    </comment>
    <comment ref="E20" authorId="0">
      <text>
        <r>
          <rPr>
            <sz val="10"/>
            <rFont val="Arial"/>
            <family val="2"/>
          </rPr>
          <t xml:space="preserve">Source: AstroDig operating ledger, Q1 2018, Completed work packages.</t>
        </r>
      </text>
    </comment>
    <comment ref="E21" authorId="0">
      <text>
        <r>
          <rPr>
            <sz val="10"/>
            <rFont val="Arial"/>
            <family val="2"/>
          </rPr>
          <t xml:space="preserve">Source: AstroDig operating ledger, Q1 2018, Accepted reference runs.</t>
        </r>
      </text>
    </comment>
    <comment ref="E22" authorId="0">
      <text>
        <r>
          <rPr>
            <sz val="10"/>
            <rFont val="Arial"/>
            <family val="2"/>
          </rPr>
          <t xml:space="preserve">Source: AstroDig operating ledger, Q1 2018, Rejected reference runs.</t>
        </r>
      </text>
    </comment>
    <comment ref="F8" authorId="0">
      <text>
        <r>
          <rPr>
            <sz val="10"/>
            <rFont val="Arial"/>
            <family val="2"/>
          </rPr>
          <t xml:space="preserve">Source: AstroDig operating ledger, Q2 2018, Recognized revenue.</t>
        </r>
      </text>
    </comment>
    <comment ref="F9" authorId="0">
      <text>
        <r>
          <rPr>
            <sz val="10"/>
            <rFont val="Arial"/>
            <family val="2"/>
          </rPr>
          <t xml:space="preserve">Source: AstroDig operating ledger, Q2 2018, Cost of goods sold.</t>
        </r>
      </text>
    </comment>
    <comment ref="F10" authorId="0">
      <text>
        <r>
          <rPr>
            <sz val="10"/>
            <rFont val="Arial"/>
            <family val="2"/>
          </rPr>
          <t xml:space="preserve">Source: AstroDig operating ledger, Q2 2018, Operating expenses.</t>
        </r>
      </text>
    </comment>
    <comment ref="F11" authorId="0">
      <text>
        <r>
          <rPr>
            <sz val="10"/>
            <rFont val="Arial"/>
            <family val="2"/>
          </rPr>
          <t xml:space="preserve">Source: AstroDig operating ledger, Q2 2018, Operating result.</t>
        </r>
      </text>
    </comment>
    <comment ref="F12" authorId="0">
      <text>
        <r>
          <rPr>
            <sz val="10"/>
            <rFont val="Arial"/>
            <family val="2"/>
          </rPr>
          <t xml:space="preserve">Source: AstroDig operating ledger, Q2 2018, Period-end headcount.</t>
        </r>
      </text>
    </comment>
    <comment ref="F13" authorId="0">
      <text>
        <r>
          <rPr>
            <sz val="10"/>
            <rFont val="Arial"/>
            <family val="2"/>
          </rPr>
          <t xml:space="preserve">Source: AstroDig operating ledger, Q2 2018, Engineering services.</t>
        </r>
      </text>
    </comment>
    <comment ref="F14" authorId="0">
      <text>
        <r>
          <rPr>
            <sz val="10"/>
            <rFont val="Arial"/>
            <family val="2"/>
          </rPr>
          <t xml:space="preserve">Source: AstroDig operating ledger, Q2 2018, Instrument development.</t>
        </r>
      </text>
    </comment>
    <comment ref="F15" authorId="0">
      <text>
        <r>
          <rPr>
            <sz val="10"/>
            <rFont val="Arial"/>
            <family val="2"/>
          </rPr>
          <t xml:space="preserve">Source: AstroDig operating ledger, Q2 2018, Mission analysis.</t>
        </r>
      </text>
    </comment>
    <comment ref="F16" authorId="0">
      <text>
        <r>
          <rPr>
            <sz val="10"/>
            <rFont val="Arial"/>
            <family val="2"/>
          </rPr>
          <t xml:space="preserve">Source: AstroDig operating ledger, Q2 2018, Research and development.</t>
        </r>
      </text>
    </comment>
    <comment ref="F17" authorId="0">
      <text>
        <r>
          <rPr>
            <sz val="10"/>
            <rFont val="Arial"/>
            <family val="2"/>
          </rPr>
          <t xml:space="preserve">Source: AstroDig operating ledger, Q2 2018, Program operations.</t>
        </r>
      </text>
    </comment>
    <comment ref="F18" authorId="0">
      <text>
        <r>
          <rPr>
            <sz val="10"/>
            <rFont val="Arial"/>
            <family val="2"/>
          </rPr>
          <t xml:space="preserve">Source: AstroDig operating ledger, Q2 2018, Corporate administration.</t>
        </r>
      </text>
    </comment>
    <comment ref="F19" authorId="0">
      <text>
        <r>
          <rPr>
            <sz val="10"/>
            <rFont val="Arial"/>
            <family val="2"/>
          </rPr>
          <t xml:space="preserve">Source: AstroDig operating ledger, Q2 2018, Contracted backlog.</t>
        </r>
      </text>
    </comment>
    <comment ref="F20" authorId="0">
      <text>
        <r>
          <rPr>
            <sz val="10"/>
            <rFont val="Arial"/>
            <family val="2"/>
          </rPr>
          <t xml:space="preserve">Source: AstroDig operating ledger, Q2 2018, Completed work packages.</t>
        </r>
      </text>
    </comment>
    <comment ref="F21" authorId="0">
      <text>
        <r>
          <rPr>
            <sz val="10"/>
            <rFont val="Arial"/>
            <family val="2"/>
          </rPr>
          <t xml:space="preserve">Source: AstroDig operating ledger, Q2 2018, Accepted reference runs.</t>
        </r>
      </text>
    </comment>
    <comment ref="F22" authorId="0">
      <text>
        <r>
          <rPr>
            <sz val="10"/>
            <rFont val="Arial"/>
            <family val="2"/>
          </rPr>
          <t xml:space="preserve">Source: AstroDig operating ledger, Q2 2018, Rejected reference runs.</t>
        </r>
      </text>
    </comment>
  </commentList>
</comments>
</file>

<file path=xl/sharedStrings.xml><?xml version="1.0" encoding="utf-8"?>
<sst xmlns="http://schemas.openxmlformats.org/spreadsheetml/2006/main" count="159" uniqueCount="81">
  <si>
    <t xml:space="preserve">AstroDig LLC - Q2 2018 Operating Results</t>
  </si>
  <si>
    <t xml:space="preserve">Published 2018-07-15 | USD unless stated | Internal</t>
  </si>
  <si>
    <t xml:space="preserve">Q2 2018; period ended 2018-06-30.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</si>
  <si>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</si>
  <si>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</si>
  <si>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</si>
  <si>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</si>
  <si>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2018</t>
  </si>
  <si>
    <t xml:space="preserve">Q2 2018</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</si>
  <si>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</si>
  <si>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</si>
  <si>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</si>
  <si>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</si>
  <si>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</si>
  <si>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</si>
  <si>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</si>
  <si>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</si>
  <si>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</si>
  <si>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</si>
  <si>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</si>
  <si>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</si>
  <si>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</si>
  <si>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</si>
  <si>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</si>
  <si>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</si>
  <si>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</si>
  <si>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</si>
  <si>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</si>
  <si>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</si>
  <si>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</si>
  <si>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</si>
  <si>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</si>
  <si>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</si>
  <si>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</si>
  <si>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</si>
  <si>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</si>
  <si>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</si>
  <si>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</si>
  <si>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</si>
  <si>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</si>
  <si>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</si>
  <si>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</si>
  <si>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</si>
  <si>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</si>
  <si>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</si>
  <si>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</si>
  <si>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</si>
  <si>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</si>
  <si>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</si>
  <si>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</si>
  <si>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</si>
  <si>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</si>
  <si>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</si>
  <si>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</si>
  <si>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</si>
  <si>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</si>
  <si>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</si>
  <si>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</si>
  <si>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</si>
  <si>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</si>
  <si>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</si>
  <si>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</si>
  <si>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</si>
  <si>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</si>
  <si>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</si>
  <si>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</si>
  <si>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</si>
  <si>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</si>
  <si>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</si>
  <si>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</si>
  <si>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</si>
  <si>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</si>
  <si>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</si>
  <si>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2018; period ended 2018-06-30. Revenue $1,886,000; COGS $716,680; opex $2,375,900; operating result $-1,206,580.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</si>
  <si>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</si>
  <si>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</si>
  <si>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</si>
  <si>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</si>
  <si>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</si>
  <si>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</si>
  <si>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Make abort behavior deterministic before expanding automated sequences. Principal risk: unsafe state transitions. Hardware-in-the-loop results are not flight qualification.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</si>
</sst>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1320200</c:v>
                </c:pt>
                <c:pt idx="1">
                  <c:v>377200</c:v>
                </c:pt>
                <c:pt idx="2">
                  <c:v>188600</c:v>
                </c:pt>
              </c:numCache>
            </c:numRef>
          </c:val>
        </c:ser>
        <c:gapWidth val="150"/>
        <c:overlap val="0"/>
        <c:axId val="68391503"/>
        <c:axId val="7927934"/>
      </c:barChart>
      <c:catAx>
        <c:axId val="6839150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27934"/>
        <c:crosses val="autoZero"/>
        <c:auto val="1"/>
        <c:lblAlgn val="ctr"/>
        <c:lblOffset val="100"/>
        <c:noMultiLvlLbl val="0"/>
      </c:catAx>
      <c:valAx>
        <c:axId val="792793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839150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1710648</c:v>
                </c:pt>
                <c:pt idx="1">
                  <c:v>427662</c:v>
                </c:pt>
                <c:pt idx="2">
                  <c:v>237590</c:v>
                </c:pt>
              </c:numCache>
            </c:numRef>
          </c:val>
        </c:ser>
        <c:gapWidth val="150"/>
        <c:overlap val="0"/>
        <c:axId val="7776613"/>
        <c:axId val="33336744"/>
      </c:barChart>
      <c:catAx>
        <c:axId val="777661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336744"/>
        <c:crosses val="autoZero"/>
        <c:auto val="1"/>
        <c:lblAlgn val="ctr"/>
        <c:lblOffset val="100"/>
        <c:noMultiLvlLbl val="0"/>
      </c:catAx>
      <c:valAx>
        <c:axId val="3333674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77661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1886000</v>
      </c>
      <c r="C8" s="7" t="s">
        <v>10</v>
      </c>
      <c r="D8" s="5" t="s">
        <v>9</v>
      </c>
      <c r="E8" s="6" t="n">
        <v>1640000</v>
      </c>
      <c r="F8" s="6" t="n">
        <v>1886000</v>
      </c>
    </row>
    <row r="9" customFormat="false" ht="15" hidden="false" customHeight="false" outlineLevel="0" collapsed="false">
      <c r="A9" s="5" t="s">
        <v>11</v>
      </c>
      <c r="B9" s="6" t="n">
        <v>716680</v>
      </c>
      <c r="C9" s="7" t="s">
        <v>10</v>
      </c>
      <c r="D9" s="5" t="s">
        <v>11</v>
      </c>
      <c r="E9" s="6" t="n">
        <v>623200</v>
      </c>
      <c r="F9" s="6" t="n">
        <v>716680</v>
      </c>
    </row>
    <row r="10" customFormat="false" ht="15" hidden="false" customHeight="false" outlineLevel="0" collapsed="false">
      <c r="A10" s="5" t="s">
        <v>12</v>
      </c>
      <c r="B10" s="6" t="n">
        <v>2375900</v>
      </c>
      <c r="C10" s="7" t="s">
        <v>10</v>
      </c>
      <c r="D10" s="5" t="s">
        <v>12</v>
      </c>
      <c r="E10" s="6" t="n">
        <v>2066000</v>
      </c>
      <c r="F10" s="6" t="n">
        <v>2375900</v>
      </c>
    </row>
    <row r="11" customFormat="false" ht="15" hidden="false" customHeight="false" outlineLevel="0" collapsed="false">
      <c r="A11" s="5" t="s">
        <v>13</v>
      </c>
      <c r="B11" s="6" t="n">
        <v>-1206580</v>
      </c>
      <c r="C11" s="7" t="s">
        <v>10</v>
      </c>
      <c r="D11" s="5" t="s">
        <v>13</v>
      </c>
      <c r="E11" s="6" t="n">
        <v>-1049200</v>
      </c>
      <c r="F11" s="6" t="n">
        <v>-1206580</v>
      </c>
    </row>
    <row r="12" customFormat="false" ht="15" hidden="false" customHeight="false" outlineLevel="0" collapsed="false">
      <c r="A12" s="5" t="s">
        <v>14</v>
      </c>
      <c r="B12" s="8" t="n">
        <v>54</v>
      </c>
      <c r="C12" s="7" t="s">
        <v>15</v>
      </c>
      <c r="D12" s="5" t="s">
        <v>14</v>
      </c>
      <c r="E12" s="8" t="n">
        <v>51</v>
      </c>
      <c r="F12" s="8" t="n">
        <v>54</v>
      </c>
    </row>
    <row r="13" customFormat="false" ht="15" hidden="false" customHeight="false" outlineLevel="0" collapsed="false">
      <c r="A13" s="5" t="s">
        <v>16</v>
      </c>
      <c r="B13" s="6" t="n">
        <v>1320200</v>
      </c>
      <c r="C13" s="7" t="s">
        <v>10</v>
      </c>
      <c r="D13" s="5" t="s">
        <v>16</v>
      </c>
      <c r="E13" s="6" t="n">
        <v>1148000</v>
      </c>
      <c r="F13" s="6" t="n">
        <v>1320200</v>
      </c>
    </row>
    <row r="14" customFormat="false" ht="15" hidden="false" customHeight="false" outlineLevel="0" collapsed="false">
      <c r="A14" s="5" t="s">
        <v>17</v>
      </c>
      <c r="B14" s="6" t="n">
        <v>377200</v>
      </c>
      <c r="C14" s="7" t="s">
        <v>10</v>
      </c>
      <c r="D14" s="5" t="s">
        <v>17</v>
      </c>
      <c r="E14" s="6" t="n">
        <v>328000</v>
      </c>
      <c r="F14" s="6" t="n">
        <v>377200</v>
      </c>
    </row>
    <row r="15" customFormat="false" ht="15" hidden="false" customHeight="false" outlineLevel="0" collapsed="false">
      <c r="A15" s="5" t="s">
        <v>18</v>
      </c>
      <c r="B15" s="6" t="n">
        <v>188600</v>
      </c>
      <c r="C15" s="7" t="s">
        <v>10</v>
      </c>
      <c r="D15" s="5" t="s">
        <v>18</v>
      </c>
      <c r="E15" s="6" t="n">
        <v>164000</v>
      </c>
      <c r="F15" s="6" t="n">
        <v>188600</v>
      </c>
    </row>
    <row r="16" customFormat="false" ht="15" hidden="false" customHeight="false" outlineLevel="0" collapsed="false">
      <c r="A16" s="5" t="s">
        <v>19</v>
      </c>
      <c r="B16" s="6" t="n">
        <v>1710648</v>
      </c>
      <c r="C16" s="7" t="s">
        <v>10</v>
      </c>
      <c r="D16" s="5" t="s">
        <v>19</v>
      </c>
      <c r="E16" s="6" t="n">
        <v>1487520</v>
      </c>
      <c r="F16" s="6" t="n">
        <v>1710648</v>
      </c>
    </row>
    <row r="17" customFormat="false" ht="15" hidden="false" customHeight="false" outlineLevel="0" collapsed="false">
      <c r="A17" s="5" t="s">
        <v>20</v>
      </c>
      <c r="B17" s="6" t="n">
        <v>427662</v>
      </c>
      <c r="C17" s="7" t="s">
        <v>10</v>
      </c>
      <c r="D17" s="5" t="s">
        <v>20</v>
      </c>
      <c r="E17" s="6" t="n">
        <v>371880</v>
      </c>
      <c r="F17" s="6" t="n">
        <v>427662</v>
      </c>
    </row>
    <row r="18" customFormat="false" ht="15" hidden="false" customHeight="false" outlineLevel="0" collapsed="false">
      <c r="A18" s="5" t="s">
        <v>21</v>
      </c>
      <c r="B18" s="6" t="n">
        <v>237590</v>
      </c>
      <c r="C18" s="7" t="s">
        <v>10</v>
      </c>
      <c r="D18" s="5" t="s">
        <v>21</v>
      </c>
      <c r="E18" s="6" t="n">
        <v>206600</v>
      </c>
      <c r="F18" s="6" t="n">
        <v>237590</v>
      </c>
    </row>
    <row r="19" customFormat="false" ht="15" hidden="false" customHeight="false" outlineLevel="0" collapsed="false">
      <c r="A19" s="5" t="s">
        <v>22</v>
      </c>
      <c r="B19" s="6" t="n">
        <v>13202000</v>
      </c>
      <c r="C19" s="7" t="s">
        <v>10</v>
      </c>
      <c r="D19" s="5" t="s">
        <v>22</v>
      </c>
      <c r="E19" s="6" t="n">
        <v>9840000</v>
      </c>
      <c r="F19" s="6" t="n">
        <v>13202000</v>
      </c>
    </row>
    <row r="20" customFormat="false" ht="15" hidden="false" customHeight="false" outlineLevel="0" collapsed="false">
      <c r="A20" s="5" t="s">
        <v>23</v>
      </c>
      <c r="B20" s="8" t="n">
        <v>23</v>
      </c>
      <c r="C20" s="7" t="s">
        <v>15</v>
      </c>
      <c r="D20" s="5" t="s">
        <v>23</v>
      </c>
      <c r="E20" s="8" t="n">
        <v>22</v>
      </c>
      <c r="F20" s="8" t="n">
        <v>23</v>
      </c>
    </row>
    <row r="21" customFormat="false" ht="15" hidden="false" customHeight="false" outlineLevel="0" collapsed="false">
      <c r="A21" s="5" t="s">
        <v>24</v>
      </c>
      <c r="B21" s="8" t="n">
        <v>53</v>
      </c>
      <c r="C21" s="7" t="s">
        <v>15</v>
      </c>
      <c r="D21" s="5" t="s">
        <v>24</v>
      </c>
      <c r="E21" s="8" t="n">
        <v>50</v>
      </c>
      <c r="F21" s="8" t="n">
        <v>53</v>
      </c>
    </row>
    <row r="22" customFormat="false" ht="15" hidden="false" customHeight="false" outlineLevel="0" collapsed="false">
      <c r="A22" s="5" t="s">
        <v>25</v>
      </c>
      <c r="B22" s="8" t="n">
        <v>4</v>
      </c>
      <c r="C22" s="7" t="s">
        <v>15</v>
      </c>
      <c r="D22" s="5" t="s">
        <v>25</v>
      </c>
      <c r="E22" s="8" t="n">
        <v>3</v>
      </c>
      <c r="F22" s="8" t="n">
        <v>4</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1886000</v>
      </c>
    </row>
    <row r="9" customFormat="false" ht="15" hidden="false" customHeight="false" outlineLevel="0" collapsed="false">
      <c r="A9" s="5" t="s">
        <v>11</v>
      </c>
      <c r="B9" s="9" t="n">
        <f aca="false">'Source actuals'!B9</f>
        <v>716680</v>
      </c>
    </row>
    <row r="10" customFormat="false" ht="15" hidden="false" customHeight="false" outlineLevel="0" collapsed="false">
      <c r="A10" s="5" t="s">
        <v>12</v>
      </c>
      <c r="B10" s="9" t="n">
        <f aca="false">'Source actuals'!B10</f>
        <v>2375900</v>
      </c>
    </row>
    <row r="11" customFormat="false" ht="15" hidden="false" customHeight="false" outlineLevel="0" collapsed="false">
      <c r="A11" s="5" t="s">
        <v>32</v>
      </c>
      <c r="B11" s="10" t="n">
        <f aca="false">B8-B9-B10</f>
        <v>-1206580</v>
      </c>
    </row>
    <row r="12" customFormat="false" ht="15" hidden="false" customHeight="false" outlineLevel="0" collapsed="false">
      <c r="A12" s="5" t="s">
        <v>33</v>
      </c>
      <c r="B12" s="9" t="n">
        <f aca="false">'Source actuals'!B11</f>
        <v>-1206580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1886000</v>
      </c>
    </row>
    <row r="9" customFormat="false" ht="15" hidden="false" customHeight="false" outlineLevel="0" collapsed="false">
      <c r="A9" s="5" t="s">
        <v>40</v>
      </c>
      <c r="B9" s="9" t="n">
        <f aca="false">'Source actuals'!B8-'Source actuals'!B9</f>
        <v>1169320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-0.639756097560976</v>
      </c>
    </row>
    <row r="12" customFormat="false" ht="15" hidden="false" customHeight="false" outlineLevel="0" collapsed="false">
      <c r="A12" s="5" t="s">
        <v>43</v>
      </c>
      <c r="B12" s="12" t="n">
        <f aca="false">IF(B8=0,0,'Source actuals'!B10/B8)</f>
        <v>1.25975609756098</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1320200</v>
      </c>
      <c r="C8" s="11" t="n">
        <f aca="false">IF(B11=0,0,B8/B11)</f>
        <v>0.7</v>
      </c>
    </row>
    <row r="9" customFormat="false" ht="15" hidden="false" customHeight="false" outlineLevel="0" collapsed="false">
      <c r="A9" s="5" t="s">
        <v>17</v>
      </c>
      <c r="B9" s="9" t="n">
        <f aca="false">'Source actuals'!B14</f>
        <v>377200</v>
      </c>
      <c r="C9" s="11" t="n">
        <f aca="false">IF(B11=0,0,B9/B11)</f>
        <v>0.2</v>
      </c>
    </row>
    <row r="10" customFormat="false" ht="15" hidden="false" customHeight="false" outlineLevel="0" collapsed="false">
      <c r="A10" s="5" t="s">
        <v>18</v>
      </c>
      <c r="B10" s="9" t="n">
        <f aca="false">'Source actuals'!B15</f>
        <v>188600</v>
      </c>
      <c r="C10" s="11" t="n">
        <f aca="false">IF(B11=0,0,B10/B11)</f>
        <v>0.1</v>
      </c>
    </row>
    <row r="11" customFormat="false" ht="15" hidden="false" customHeight="false" outlineLevel="0" collapsed="false">
      <c r="A11" s="5" t="s">
        <v>49</v>
      </c>
      <c r="B11" s="10" t="n">
        <f aca="false">SUM(B8:B10)</f>
        <v>1886000</v>
      </c>
      <c r="C11" s="11" t="n">
        <f aca="false">SUM(C8:C10)</f>
        <v>1</v>
      </c>
    </row>
    <row r="12" customFormat="false" ht="15" hidden="false" customHeight="false" outlineLevel="0" collapsed="false">
      <c r="A12" s="5" t="s">
        <v>50</v>
      </c>
      <c r="B12" s="9" t="n">
        <f aca="false">'Source actuals'!B8</f>
        <v>1886000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1710648</v>
      </c>
      <c r="C8" s="11" t="n">
        <f aca="false">IF(B11=0,0,B8/B11)</f>
        <v>0.72</v>
      </c>
    </row>
    <row r="9" customFormat="false" ht="15" hidden="false" customHeight="false" outlineLevel="0" collapsed="false">
      <c r="A9" s="5" t="s">
        <v>20</v>
      </c>
      <c r="B9" s="9" t="n">
        <f aca="false">'Source actuals'!B17</f>
        <v>427662</v>
      </c>
      <c r="C9" s="11" t="n">
        <f aca="false">IF(B11=0,0,B9/B11)</f>
        <v>0.18</v>
      </c>
    </row>
    <row r="10" customFormat="false" ht="15" hidden="false" customHeight="false" outlineLevel="0" collapsed="false">
      <c r="A10" s="5" t="s">
        <v>21</v>
      </c>
      <c r="B10" s="9" t="n">
        <f aca="false">'Source actuals'!B18</f>
        <v>237590</v>
      </c>
      <c r="C10" s="11" t="n">
        <f aca="false">IF(B11=0,0,B10/B11)</f>
        <v>0.1</v>
      </c>
    </row>
    <row r="11" customFormat="false" ht="15" hidden="false" customHeight="false" outlineLevel="0" collapsed="false">
      <c r="A11" s="5" t="s">
        <v>49</v>
      </c>
      <c r="B11" s="10" t="n">
        <f aca="false">SUM(B8:B10)</f>
        <v>2375900</v>
      </c>
      <c r="C11" s="11" t="n">
        <f aca="false">SUM(C8:C10)</f>
        <v>1</v>
      </c>
    </row>
    <row r="12" customFormat="false" ht="15" hidden="false" customHeight="false" outlineLevel="0" collapsed="false">
      <c r="A12" s="5" t="s">
        <v>50</v>
      </c>
      <c r="B12" s="9" t="n">
        <f aca="false">'Source actuals'!B10</f>
        <v>2375900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54</v>
      </c>
    </row>
    <row r="9" customFormat="false" ht="15" hidden="false" customHeight="false" outlineLevel="0" collapsed="false">
      <c r="A9" s="5" t="s">
        <v>58</v>
      </c>
      <c r="B9" s="9" t="n">
        <f aca="false">'Source actuals'!B8/B8</f>
        <v>34925.9259259259</v>
      </c>
    </row>
    <row r="10" customFormat="false" ht="15" hidden="false" customHeight="false" outlineLevel="0" collapsed="false">
      <c r="A10" s="5" t="s">
        <v>23</v>
      </c>
      <c r="B10" s="13" t="n">
        <f aca="false">'Source actuals'!B20</f>
        <v>23</v>
      </c>
    </row>
    <row r="11" customFormat="false" ht="15" hidden="false" customHeight="false" outlineLevel="0" collapsed="false">
      <c r="A11" s="5" t="s">
        <v>59</v>
      </c>
      <c r="B11" s="14" t="n">
        <f aca="false">B10/B8</f>
        <v>0.425925925925926</v>
      </c>
    </row>
    <row r="12" customFormat="false" ht="15" hidden="false" customHeight="false" outlineLevel="0" collapsed="false">
      <c r="A12" s="5" t="s">
        <v>24</v>
      </c>
      <c r="B12" s="13" t="n">
        <f aca="false">'Source actuals'!B21</f>
        <v>53</v>
      </c>
    </row>
    <row r="13" customFormat="false" ht="15" hidden="false" customHeight="false" outlineLevel="0" collapsed="false">
      <c r="A13" s="5" t="s">
        <v>25</v>
      </c>
      <c r="B13" s="13" t="n">
        <f aca="false">'Source actuals'!B22</f>
        <v>4</v>
      </c>
    </row>
    <row r="14" customFormat="false" ht="15" hidden="false" customHeight="false" outlineLevel="0" collapsed="false">
      <c r="A14" s="5" t="s">
        <v>60</v>
      </c>
      <c r="B14" s="15" t="n">
        <f aca="false">SUM(B12:B13)</f>
        <v>57</v>
      </c>
    </row>
    <row r="15" customFormat="false" ht="15" hidden="false" customHeight="false" outlineLevel="0" collapsed="false">
      <c r="A15" s="5" t="s">
        <v>61</v>
      </c>
      <c r="B15" s="11" t="n">
        <f aca="false">IF(B14=0,0,B12/B14)</f>
        <v>0.929824561403509</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1640000</v>
      </c>
      <c r="C8" s="9" t="n">
        <f aca="false">'Source actuals'!F8</f>
        <v>1886000</v>
      </c>
    </row>
    <row r="9" customFormat="false" ht="15" hidden="false" customHeight="false" outlineLevel="0" collapsed="false">
      <c r="A9" s="5" t="s">
        <v>11</v>
      </c>
      <c r="B9" s="9" t="n">
        <f aca="false">'Source actuals'!E9</f>
        <v>623200</v>
      </c>
      <c r="C9" s="9" t="n">
        <f aca="false">'Source actuals'!F9</f>
        <v>716680</v>
      </c>
    </row>
    <row r="10" customFormat="false" ht="15" hidden="false" customHeight="false" outlineLevel="0" collapsed="false">
      <c r="A10" s="5" t="s">
        <v>12</v>
      </c>
      <c r="B10" s="9" t="n">
        <f aca="false">'Source actuals'!E10</f>
        <v>2066000</v>
      </c>
      <c r="C10" s="9" t="n">
        <f aca="false">'Source actuals'!F10</f>
        <v>2375900</v>
      </c>
    </row>
    <row r="11" customFormat="false" ht="15" hidden="false" customHeight="false" outlineLevel="0" collapsed="false">
      <c r="A11" s="5" t="s">
        <v>13</v>
      </c>
      <c r="B11" s="9" t="n">
        <f aca="false">'Source actuals'!E11</f>
        <v>-1049200</v>
      </c>
      <c r="C11" s="9" t="n">
        <f aca="false">'Source actuals'!F11</f>
        <v>-1206580</v>
      </c>
    </row>
    <row r="12" customFormat="false" ht="15" hidden="false" customHeight="false" outlineLevel="0" collapsed="false">
      <c r="A12" s="5" t="s">
        <v>22</v>
      </c>
      <c r="B12" s="9" t="n">
        <f aca="false">'Source actuals'!E19</f>
        <v>9840000</v>
      </c>
      <c r="C12" s="9" t="n">
        <f aca="false">'Source actuals'!F19</f>
        <v>13202000</v>
      </c>
    </row>
    <row r="13" customFormat="false" ht="15" hidden="false" customHeight="false" outlineLevel="0" collapsed="false">
      <c r="A13" s="5" t="s">
        <v>14</v>
      </c>
      <c r="B13" s="13" t="n">
        <f aca="false">'Source actuals'!E12</f>
        <v>51</v>
      </c>
      <c r="C13" s="13" t="n">
        <f aca="false">'Source actuals'!F12</f>
        <v>54</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3526000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2026-10-08T21:36:35Z</dcterms:created>
  <dc:creator>AstroDig LLC</dc:creator>
  <dc:description/>
  <dc:language>en-US</dc:language>
  <cp:lastModifiedBy/>
  <dcterms:modified xsi:type="dcterms:W3CDTF">2026-10-08T21:36:35Z</dcterms:modified>
  <cp:revision>0</cp:revision>
  <dc:subject>USD operating performance</dc:subject>
  <dc:title>AstroDig LLC - Q2 2018 Operating Results</dc:title>
</cp:coreProperties>
</file>

<file path=docProps/custom.xml><?xml version="1.0" encoding="utf-8"?>
<Properties xmlns="http://schemas.openxmlformats.org/officeDocument/2006/custom-properties" xmlns:vt="http://schemas.openxmlformats.org/officeDocument/2006/docPropsVTypes"/>
</file>