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 actuals" sheetId="1" state="visible" r:id="rId3"/>
    <sheet name="Income bridge" sheetId="2" state="visible" r:id="rId4"/>
    <sheet name="Service economics" sheetId="3" state="visible" r:id="rId5"/>
    <sheet name="Development intensity" sheetId="4" state="visible" r:id="rId6"/>
    <sheet name="Delivery capacity" sheetId="5" state="visible" r:id="rId7"/>
    <sheet name="Quarter bridge" sheetId="6" state="visible" r:id="rId8"/>
    <sheet name="Backlog commitments" sheetId="7" state="visible" r:id="rId9"/>
    <sheet name="Methodology" sheetId="8" state="visible" r:id="rId10"/>
  </sheets>
  <definedNames>
    <definedName function="false" hidden="false" localSheetId="6" name="_xlnm.Print_Area" vbProcedure="false">'Backlog commitments'!$A$1:$H$36</definedName>
    <definedName function="false" hidden="false" localSheetId="4" name="_xlnm.Print_Area" vbProcedure="false">'Delivery capacity'!$A$1:$H$36</definedName>
    <definedName function="false" hidden="false" localSheetId="3" name="_xlnm.Print_Area" vbProcedure="false">'Development intensity'!$A$1:$H$36</definedName>
    <definedName function="false" hidden="false" localSheetId="1" name="_xlnm.Print_Area" vbProcedure="false">'Income bridge'!$A$1:$H$36</definedName>
    <definedName function="false" hidden="false" localSheetId="7" name="_xlnm.Print_Area" vbProcedure="false">Methodology!$A$1:$H$29</definedName>
    <definedName function="false" hidden="false" localSheetId="5" name="_xlnm.Print_Area" vbProcedure="false">'Quarter bridge'!$A$1:$H$36</definedName>
    <definedName function="false" hidden="false" localSheetId="2" name="_xlnm.Print_Area" vbProcedure="false">'Service economics'!$A$1:$H$36</definedName>
    <definedName function="false" hidden="false" localSheetId="0" name="_xlnm.Print_Area" vbProcedure="false">'Source actuals'!$A$1:$H$36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AstroDig Finance</author>
  </authors>
  <commentList>
    <comment ref="B8" authorId="0">
      <text>
        <r>
          <rPr>
            <sz val="10"/>
            <rFont val="Arial"/>
            <family val="2"/>
          </rPr>
          <t xml:space="preserve">Source: AstroDig operating ledger, 2019-10-15, Q3 2019, Recognized revenue.</t>
        </r>
      </text>
    </comment>
    <comment ref="B9" authorId="0">
      <text>
        <r>
          <rPr>
            <sz val="10"/>
            <rFont val="Arial"/>
            <family val="2"/>
          </rPr>
          <t xml:space="preserve">Source: AstroDig operating ledger, 2019-10-15, Q3 2019, Cost of goods sold.</t>
        </r>
      </text>
    </comment>
    <comment ref="B10" authorId="0">
      <text>
        <r>
          <rPr>
            <sz val="10"/>
            <rFont val="Arial"/>
            <family val="2"/>
          </rPr>
          <t xml:space="preserve">Source: AstroDig operating ledger, 2019-10-15, Q3 2019, Operating expenses.</t>
        </r>
      </text>
    </comment>
    <comment ref="B11" authorId="0">
      <text>
        <r>
          <rPr>
            <sz val="10"/>
            <rFont val="Arial"/>
            <family val="2"/>
          </rPr>
          <t xml:space="preserve">Source: AstroDig operating ledger, 2019-10-15, Q3 2019, Operating result.</t>
        </r>
      </text>
    </comment>
    <comment ref="B12" authorId="0">
      <text>
        <r>
          <rPr>
            <sz val="10"/>
            <rFont val="Arial"/>
            <family val="2"/>
          </rPr>
          <t xml:space="preserve">Source: AstroDig operating ledger, 2019-10-15, Q3 2019, Period-end headcount.</t>
        </r>
      </text>
    </comment>
    <comment ref="B13" authorId="0">
      <text>
        <r>
          <rPr>
            <sz val="10"/>
            <rFont val="Arial"/>
            <family val="2"/>
          </rPr>
          <t xml:space="preserve">Source: AstroDig operating ledger, 2019-10-15, Q3 2019, Engineering services.</t>
        </r>
      </text>
    </comment>
    <comment ref="B14" authorId="0">
      <text>
        <r>
          <rPr>
            <sz val="10"/>
            <rFont val="Arial"/>
            <family val="2"/>
          </rPr>
          <t xml:space="preserve">Source: AstroDig operating ledger, 2019-10-15, Q3 2019, Instrument development.</t>
        </r>
      </text>
    </comment>
    <comment ref="B15" authorId="0">
      <text>
        <r>
          <rPr>
            <sz val="10"/>
            <rFont val="Arial"/>
            <family val="2"/>
          </rPr>
          <t xml:space="preserve">Source: AstroDig operating ledger, 2019-10-15, Q3 2019, Mission analysis.</t>
        </r>
      </text>
    </comment>
    <comment ref="B16" authorId="0">
      <text>
        <r>
          <rPr>
            <sz val="10"/>
            <rFont val="Arial"/>
            <family val="2"/>
          </rPr>
          <t xml:space="preserve">Source: AstroDig operating ledger, 2019-10-15, Q3 2019, Research and development.</t>
        </r>
      </text>
    </comment>
    <comment ref="B17" authorId="0">
      <text>
        <r>
          <rPr>
            <sz val="10"/>
            <rFont val="Arial"/>
            <family val="2"/>
          </rPr>
          <t xml:space="preserve">Source: AstroDig operating ledger, 2019-10-15, Q3 2019, Program operations.</t>
        </r>
      </text>
    </comment>
    <comment ref="B18" authorId="0">
      <text>
        <r>
          <rPr>
            <sz val="10"/>
            <rFont val="Arial"/>
            <family val="2"/>
          </rPr>
          <t xml:space="preserve">Source: AstroDig operating ledger, 2019-10-15, Q3 2019, Corporate administration.</t>
        </r>
      </text>
    </comment>
    <comment ref="B19" authorId="0">
      <text>
        <r>
          <rPr>
            <sz val="10"/>
            <rFont val="Arial"/>
            <family val="2"/>
          </rPr>
          <t xml:space="preserve">Source: AstroDig operating ledger, 2019-10-15, Q3 2019, Contracted backlog.</t>
        </r>
      </text>
    </comment>
    <comment ref="B20" authorId="0">
      <text>
        <r>
          <rPr>
            <sz val="10"/>
            <rFont val="Arial"/>
            <family val="2"/>
          </rPr>
          <t xml:space="preserve">Source: AstroDig operating ledger, 2019-10-15, Q3 2019, Completed work packages.</t>
        </r>
      </text>
    </comment>
    <comment ref="B21" authorId="0">
      <text>
        <r>
          <rPr>
            <sz val="10"/>
            <rFont val="Arial"/>
            <family val="2"/>
          </rPr>
          <t xml:space="preserve">Source: AstroDig operating ledger, 2019-10-15, Q3 2019, Accepted reference runs.</t>
        </r>
      </text>
    </comment>
    <comment ref="B22" authorId="0">
      <text>
        <r>
          <rPr>
            <sz val="10"/>
            <rFont val="Arial"/>
            <family val="2"/>
          </rPr>
          <t xml:space="preserve">Source: AstroDig operating ledger, 2019-10-15, Q3 2019, Rejected reference runs.</t>
        </r>
      </text>
    </comment>
    <comment ref="E8" authorId="0">
      <text>
        <r>
          <rPr>
            <sz val="10"/>
            <rFont val="Arial"/>
            <family val="2"/>
          </rPr>
          <t xml:space="preserve">Source: AstroDig operating ledger, Q1 2019, Recognized revenue.</t>
        </r>
      </text>
    </comment>
    <comment ref="E9" authorId="0">
      <text>
        <r>
          <rPr>
            <sz val="10"/>
            <rFont val="Arial"/>
            <family val="2"/>
          </rPr>
          <t xml:space="preserve">Source: AstroDig operating ledger, Q1 2019, Cost of goods sold.</t>
        </r>
      </text>
    </comment>
    <comment ref="E10" authorId="0">
      <text>
        <r>
          <rPr>
            <sz val="10"/>
            <rFont val="Arial"/>
            <family val="2"/>
          </rPr>
          <t xml:space="preserve">Source: AstroDig operating ledger, Q1 2019, Operating expenses.</t>
        </r>
      </text>
    </comment>
    <comment ref="E11" authorId="0">
      <text>
        <r>
          <rPr>
            <sz val="10"/>
            <rFont val="Arial"/>
            <family val="2"/>
          </rPr>
          <t xml:space="preserve">Source: AstroDig operating ledger, Q1 2019, Operating result.</t>
        </r>
      </text>
    </comment>
    <comment ref="E12" authorId="0">
      <text>
        <r>
          <rPr>
            <sz val="10"/>
            <rFont val="Arial"/>
            <family val="2"/>
          </rPr>
          <t xml:space="preserve">Source: AstroDig operating ledger, Q1 2019, Period-end headcount.</t>
        </r>
      </text>
    </comment>
    <comment ref="E13" authorId="0">
      <text>
        <r>
          <rPr>
            <sz val="10"/>
            <rFont val="Arial"/>
            <family val="2"/>
          </rPr>
          <t xml:space="preserve">Source: AstroDig operating ledger, Q1 2019, Engineering services.</t>
        </r>
      </text>
    </comment>
    <comment ref="E14" authorId="0">
      <text>
        <r>
          <rPr>
            <sz val="10"/>
            <rFont val="Arial"/>
            <family val="2"/>
          </rPr>
          <t xml:space="preserve">Source: AstroDig operating ledger, Q1 2019, Instrument development.</t>
        </r>
      </text>
    </comment>
    <comment ref="E15" authorId="0">
      <text>
        <r>
          <rPr>
            <sz val="10"/>
            <rFont val="Arial"/>
            <family val="2"/>
          </rPr>
          <t xml:space="preserve">Source: AstroDig operating ledger, Q1 2019, Mission analysis.</t>
        </r>
      </text>
    </comment>
    <comment ref="E16" authorId="0">
      <text>
        <r>
          <rPr>
            <sz val="10"/>
            <rFont val="Arial"/>
            <family val="2"/>
          </rPr>
          <t xml:space="preserve">Source: AstroDig operating ledger, Q1 2019, Research and development.</t>
        </r>
      </text>
    </comment>
    <comment ref="E17" authorId="0">
      <text>
        <r>
          <rPr>
            <sz val="10"/>
            <rFont val="Arial"/>
            <family val="2"/>
          </rPr>
          <t xml:space="preserve">Source: AstroDig operating ledger, Q1 2019, Program operations.</t>
        </r>
      </text>
    </comment>
    <comment ref="E18" authorId="0">
      <text>
        <r>
          <rPr>
            <sz val="10"/>
            <rFont val="Arial"/>
            <family val="2"/>
          </rPr>
          <t xml:space="preserve">Source: AstroDig operating ledger, Q1 2019, Corporate administration.</t>
        </r>
      </text>
    </comment>
    <comment ref="E19" authorId="0">
      <text>
        <r>
          <rPr>
            <sz val="10"/>
            <rFont val="Arial"/>
            <family val="2"/>
          </rPr>
          <t xml:space="preserve">Source: AstroDig operating ledger, Q1 2019, Contracted backlog.</t>
        </r>
      </text>
    </comment>
    <comment ref="E20" authorId="0">
      <text>
        <r>
          <rPr>
            <sz val="10"/>
            <rFont val="Arial"/>
            <family val="2"/>
          </rPr>
          <t xml:space="preserve">Source: AstroDig operating ledger, Q1 2019, Completed work packages.</t>
        </r>
      </text>
    </comment>
    <comment ref="E21" authorId="0">
      <text>
        <r>
          <rPr>
            <sz val="10"/>
            <rFont val="Arial"/>
            <family val="2"/>
          </rPr>
          <t xml:space="preserve">Source: AstroDig operating ledger, Q1 2019, Accepted reference runs.</t>
        </r>
      </text>
    </comment>
    <comment ref="E22" authorId="0">
      <text>
        <r>
          <rPr>
            <sz val="10"/>
            <rFont val="Arial"/>
            <family val="2"/>
          </rPr>
          <t xml:space="preserve">Source: AstroDig operating ledger, Q1 2019, Rejected reference runs.</t>
        </r>
      </text>
    </comment>
    <comment ref="F8" authorId="0">
      <text>
        <r>
          <rPr>
            <sz val="10"/>
            <rFont val="Arial"/>
            <family val="2"/>
          </rPr>
          <t xml:space="preserve">Source: AstroDig operating ledger, Q2 2019, Recognized revenue.</t>
        </r>
      </text>
    </comment>
    <comment ref="F9" authorId="0">
      <text>
        <r>
          <rPr>
            <sz val="10"/>
            <rFont val="Arial"/>
            <family val="2"/>
          </rPr>
          <t xml:space="preserve">Source: AstroDig operating ledger, Q2 2019, Cost of goods sold.</t>
        </r>
      </text>
    </comment>
    <comment ref="F10" authorId="0">
      <text>
        <r>
          <rPr>
            <sz val="10"/>
            <rFont val="Arial"/>
            <family val="2"/>
          </rPr>
          <t xml:space="preserve">Source: AstroDig operating ledger, Q2 2019, Operating expenses.</t>
        </r>
      </text>
    </comment>
    <comment ref="F11" authorId="0">
      <text>
        <r>
          <rPr>
            <sz val="10"/>
            <rFont val="Arial"/>
            <family val="2"/>
          </rPr>
          <t xml:space="preserve">Source: AstroDig operating ledger, Q2 2019, Operating result.</t>
        </r>
      </text>
    </comment>
    <comment ref="F12" authorId="0">
      <text>
        <r>
          <rPr>
            <sz val="10"/>
            <rFont val="Arial"/>
            <family val="2"/>
          </rPr>
          <t xml:space="preserve">Source: AstroDig operating ledger, Q2 2019, Period-end headcount.</t>
        </r>
      </text>
    </comment>
    <comment ref="F13" authorId="0">
      <text>
        <r>
          <rPr>
            <sz val="10"/>
            <rFont val="Arial"/>
            <family val="2"/>
          </rPr>
          <t xml:space="preserve">Source: AstroDig operating ledger, Q2 2019, Engineering services.</t>
        </r>
      </text>
    </comment>
    <comment ref="F14" authorId="0">
      <text>
        <r>
          <rPr>
            <sz val="10"/>
            <rFont val="Arial"/>
            <family val="2"/>
          </rPr>
          <t xml:space="preserve">Source: AstroDig operating ledger, Q2 2019, Instrument development.</t>
        </r>
      </text>
    </comment>
    <comment ref="F15" authorId="0">
      <text>
        <r>
          <rPr>
            <sz val="10"/>
            <rFont val="Arial"/>
            <family val="2"/>
          </rPr>
          <t xml:space="preserve">Source: AstroDig operating ledger, Q2 2019, Mission analysis.</t>
        </r>
      </text>
    </comment>
    <comment ref="F16" authorId="0">
      <text>
        <r>
          <rPr>
            <sz val="10"/>
            <rFont val="Arial"/>
            <family val="2"/>
          </rPr>
          <t xml:space="preserve">Source: AstroDig operating ledger, Q2 2019, Research and development.</t>
        </r>
      </text>
    </comment>
    <comment ref="F17" authorId="0">
      <text>
        <r>
          <rPr>
            <sz val="10"/>
            <rFont val="Arial"/>
            <family val="2"/>
          </rPr>
          <t xml:space="preserve">Source: AstroDig operating ledger, Q2 2019, Program operations.</t>
        </r>
      </text>
    </comment>
    <comment ref="F18" authorId="0">
      <text>
        <r>
          <rPr>
            <sz val="10"/>
            <rFont val="Arial"/>
            <family val="2"/>
          </rPr>
          <t xml:space="preserve">Source: AstroDig operating ledger, Q2 2019, Corporate administration.</t>
        </r>
      </text>
    </comment>
    <comment ref="F19" authorId="0">
      <text>
        <r>
          <rPr>
            <sz val="10"/>
            <rFont val="Arial"/>
            <family val="2"/>
          </rPr>
          <t xml:space="preserve">Source: AstroDig operating ledger, Q2 2019, Contracted backlog.</t>
        </r>
      </text>
    </comment>
    <comment ref="F20" authorId="0">
      <text>
        <r>
          <rPr>
            <sz val="10"/>
            <rFont val="Arial"/>
            <family val="2"/>
          </rPr>
          <t xml:space="preserve">Source: AstroDig operating ledger, Q2 2019, Completed work packages.</t>
        </r>
      </text>
    </comment>
    <comment ref="F21" authorId="0">
      <text>
        <r>
          <rPr>
            <sz val="10"/>
            <rFont val="Arial"/>
            <family val="2"/>
          </rPr>
          <t xml:space="preserve">Source: AstroDig operating ledger, Q2 2019, Accepted reference runs.</t>
        </r>
      </text>
    </comment>
    <comment ref="F22" authorId="0">
      <text>
        <r>
          <rPr>
            <sz val="10"/>
            <rFont val="Arial"/>
            <family val="2"/>
          </rPr>
          <t xml:space="preserve">Source: AstroDig operating ledger, Q2 2019, Rejected reference runs.</t>
        </r>
      </text>
    </comment>
    <comment ref="G8" authorId="0">
      <text>
        <r>
          <rPr>
            <sz val="10"/>
            <rFont val="Arial"/>
            <family val="2"/>
          </rPr>
          <t xml:space="preserve">Source: AstroDig operating ledger, Q3 2019, Recognized revenue.</t>
        </r>
      </text>
    </comment>
    <comment ref="G9" authorId="0">
      <text>
        <r>
          <rPr>
            <sz val="10"/>
            <rFont val="Arial"/>
            <family val="2"/>
          </rPr>
          <t xml:space="preserve">Source: AstroDig operating ledger, Q3 2019, Cost of goods sold.</t>
        </r>
      </text>
    </comment>
    <comment ref="G10" authorId="0">
      <text>
        <r>
          <rPr>
            <sz val="10"/>
            <rFont val="Arial"/>
            <family val="2"/>
          </rPr>
          <t xml:space="preserve">Source: AstroDig operating ledger, Q3 2019, Operating expenses.</t>
        </r>
      </text>
    </comment>
    <comment ref="G11" authorId="0">
      <text>
        <r>
          <rPr>
            <sz val="10"/>
            <rFont val="Arial"/>
            <family val="2"/>
          </rPr>
          <t xml:space="preserve">Source: AstroDig operating ledger, Q3 2019, Operating result.</t>
        </r>
      </text>
    </comment>
    <comment ref="G12" authorId="0">
      <text>
        <r>
          <rPr>
            <sz val="10"/>
            <rFont val="Arial"/>
            <family val="2"/>
          </rPr>
          <t xml:space="preserve">Source: AstroDig operating ledger, Q3 2019, Period-end headcount.</t>
        </r>
      </text>
    </comment>
    <comment ref="G13" authorId="0">
      <text>
        <r>
          <rPr>
            <sz val="10"/>
            <rFont val="Arial"/>
            <family val="2"/>
          </rPr>
          <t xml:space="preserve">Source: AstroDig operating ledger, Q3 2019, Engineering services.</t>
        </r>
      </text>
    </comment>
    <comment ref="G14" authorId="0">
      <text>
        <r>
          <rPr>
            <sz val="10"/>
            <rFont val="Arial"/>
            <family val="2"/>
          </rPr>
          <t xml:space="preserve">Source: AstroDig operating ledger, Q3 2019, Instrument development.</t>
        </r>
      </text>
    </comment>
    <comment ref="G15" authorId="0">
      <text>
        <r>
          <rPr>
            <sz val="10"/>
            <rFont val="Arial"/>
            <family val="2"/>
          </rPr>
          <t xml:space="preserve">Source: AstroDig operating ledger, Q3 2019, Mission analysis.</t>
        </r>
      </text>
    </comment>
    <comment ref="G16" authorId="0">
      <text>
        <r>
          <rPr>
            <sz val="10"/>
            <rFont val="Arial"/>
            <family val="2"/>
          </rPr>
          <t xml:space="preserve">Source: AstroDig operating ledger, Q3 2019, Research and development.</t>
        </r>
      </text>
    </comment>
    <comment ref="G17" authorId="0">
      <text>
        <r>
          <rPr>
            <sz val="10"/>
            <rFont val="Arial"/>
            <family val="2"/>
          </rPr>
          <t xml:space="preserve">Source: AstroDig operating ledger, Q3 2019, Program operations.</t>
        </r>
      </text>
    </comment>
    <comment ref="G18" authorId="0">
      <text>
        <r>
          <rPr>
            <sz val="10"/>
            <rFont val="Arial"/>
            <family val="2"/>
          </rPr>
          <t xml:space="preserve">Source: AstroDig operating ledger, Q3 2019, Corporate administration.</t>
        </r>
      </text>
    </comment>
    <comment ref="G19" authorId="0">
      <text>
        <r>
          <rPr>
            <sz val="10"/>
            <rFont val="Arial"/>
            <family val="2"/>
          </rPr>
          <t xml:space="preserve">Source: AstroDig operating ledger, Q3 2019, Contracted backlog.</t>
        </r>
      </text>
    </comment>
    <comment ref="G20" authorId="0">
      <text>
        <r>
          <rPr>
            <sz val="10"/>
            <rFont val="Arial"/>
            <family val="2"/>
          </rPr>
          <t xml:space="preserve">Source: AstroDig operating ledger, Q3 2019, Completed work packages.</t>
        </r>
      </text>
    </comment>
    <comment ref="G21" authorId="0">
      <text>
        <r>
          <rPr>
            <sz val="10"/>
            <rFont val="Arial"/>
            <family val="2"/>
          </rPr>
          <t xml:space="preserve">Source: AstroDig operating ledger, Q3 2019, Accepted reference runs.</t>
        </r>
      </text>
    </comment>
    <comment ref="G22" authorId="0">
      <text>
        <r>
          <rPr>
            <sz val="10"/>
            <rFont val="Arial"/>
            <family val="2"/>
          </rPr>
          <t xml:space="preserve">Source: AstroDig operating ledger, Q3 2019, Rejected reference runs.</t>
        </r>
      </text>
    </comment>
  </commentList>
</comments>
</file>

<file path=xl/sharedStrings.xml><?xml version="1.0" encoding="utf-8"?>
<sst xmlns="http://schemas.openxmlformats.org/spreadsheetml/2006/main" count="157" uniqueCount="87">
  <si>
    <t xml:space="preserve">AstroDig LLC - Q3 2019 Service Economics and Development Spending</t>
  </si>
  <si>
    <t xml:space="preserve">Published 2019-10-15 | USD unless stated | Internal</t>
  </si>
  <si>
    <t xml:space="preserve">Q3 2019; period ended 2019-09-30. Company operating ledger and campaign register. Headcount and backlog are period-end snapshots.</t>
  </si>
  <si>
    <t xml:space="preserve">Measure</t>
  </si>
  <si>
    <t xml:space="preserve">Current period</t>
  </si>
  <si>
    <t xml:space="preserve">Units</t>
  </si>
  <si>
    <t xml:space="preserve">Available-quarter measure</t>
  </si>
  <si>
    <t xml:space="preserve">Q1 2019</t>
  </si>
  <si>
    <t xml:space="preserve">Q2 2019</t>
  </si>
  <si>
    <t xml:space="preserve">Q3 2019</t>
  </si>
  <si>
    <t xml:space="preserve">Recognized revenue</t>
  </si>
  <si>
    <t xml:space="preserve">USD</t>
  </si>
  <si>
    <t xml:space="preserve">Cost of goods sold</t>
  </si>
  <si>
    <t xml:space="preserve">Operating expenses</t>
  </si>
  <si>
    <t xml:space="preserve">Operating result</t>
  </si>
  <si>
    <t xml:space="preserve">Period-end headcount</t>
  </si>
  <si>
    <t xml:space="preserve">count</t>
  </si>
  <si>
    <t xml:space="preserve">Engineering services</t>
  </si>
  <si>
    <t xml:space="preserve">Instrument development</t>
  </si>
  <si>
    <t xml:space="preserve">Mission analysis</t>
  </si>
  <si>
    <t xml:space="preserve">Research and development</t>
  </si>
  <si>
    <t xml:space="preserve">Program operations</t>
  </si>
  <si>
    <t xml:space="preserve">Corporate administration</t>
  </si>
  <si>
    <t xml:space="preserve">Contracted backlog</t>
  </si>
  <si>
    <t xml:space="preserve">Completed work packages</t>
  </si>
  <si>
    <t xml:space="preserve">Accepted reference runs</t>
  </si>
  <si>
    <t xml:space="preserve">Rejected reference runs</t>
  </si>
  <si>
    <t xml:space="preserve">Recognize engineering and development revenue against accepted contracted work; do not recognize projected asteroid sales.</t>
  </si>
  <si>
    <t xml:space="preserve">Revenue is recognized against accepted contracted work. No forecast, cash balance, resource valuation, or projected asteroid-sales input is included.</t>
  </si>
  <si>
    <t xml:space="preserve">Income reconciliation</t>
  </si>
  <si>
    <t xml:space="preserve">Does recognized revenue cover delivery and operating costs?</t>
  </si>
  <si>
    <t xml:space="preserve">Value</t>
  </si>
  <si>
    <t xml:space="preserve">Check / share</t>
  </si>
  <si>
    <t xml:space="preserve">Derived operating result</t>
  </si>
  <si>
    <t xml:space="preserve">Reported operating result</t>
  </si>
  <si>
    <t xml:space="preserve">Reconciliation difference</t>
  </si>
  <si>
    <t xml:space="preserve">Operating result remains negative after both delivery costs and development spending; the reconciliation isolates the reported loss rather than presenting revenue as profit.</t>
  </si>
  <si>
    <t xml:space="preserve">Control: formulas link to source actuals; reconciliation checks must read RECONCILED. Ratios describe the reported period and do not constitute forecast or mission readiness.</t>
  </si>
  <si>
    <t xml:space="preserve">Contracted service economics</t>
  </si>
  <si>
    <t xml:space="preserve">How do the three service categories reconcile, and what share comes from engineering?</t>
  </si>
  <si>
    <t xml:space="preserve">Service total</t>
  </si>
  <si>
    <t xml:space="preserve">Service reconciliation</t>
  </si>
  <si>
    <t xml:space="preserve">Recognized service categories reconcile to revenue. Engineering share describes the revenue base; no category-level profit is inferred because delivery costs are not allocated by service category.</t>
  </si>
  <si>
    <t xml:space="preserve">Development spending intensity</t>
  </si>
  <si>
    <t xml:space="preserve">How does research spending relate to revenue, workforce and total operating expense?</t>
  </si>
  <si>
    <t xml:space="preserve">Research spending</t>
  </si>
  <si>
    <t xml:space="preserve">Research / revenue</t>
  </si>
  <si>
    <t xml:space="preserve">Research / period-end employee</t>
  </si>
  <si>
    <t xml:space="preserve">Research / operating expenses</t>
  </si>
  <si>
    <t xml:space="preserve">Administration</t>
  </si>
  <si>
    <t xml:space="preserve">Expense allocation difference</t>
  </si>
  <si>
    <t xml:space="preserve">Research spending per period-end employee and relative to revenue exposes the development load. These ratios are descriptive; no capitalization, cash burn or return on investment is inferred.</t>
  </si>
  <si>
    <t xml:space="preserve">Delivery capacity and evidence quality</t>
  </si>
  <si>
    <t xml:space="preserve">How do delivered work and accepted or rejected trials relate to the workforce snapshot?</t>
  </si>
  <si>
    <t xml:space="preserve">Work packages / employee</t>
  </si>
  <si>
    <t xml:space="preserve">Recorded reference runs</t>
  </si>
  <si>
    <t xml:space="preserve">Reference acceptance fraction</t>
  </si>
  <si>
    <t xml:space="preserve">Run-count difference</t>
  </si>
  <si>
    <t xml:space="preserve">Completed work packages and reference acceptance are separate operating measures. Rejected trials remain in the denominator, and workforce ratios do not claim unused capacity.</t>
  </si>
  <si>
    <t xml:space="preserve">Quarter-to-quarter operating bridge</t>
  </si>
  <si>
    <t xml:space="preserve">Which recognized revenue and cost movements explain the change from Q2 to Q3?</t>
  </si>
  <si>
    <t xml:space="preserve">Q3 recognized revenue</t>
  </si>
  <si>
    <t xml:space="preserve">Q2 recognized revenue</t>
  </si>
  <si>
    <t xml:space="preserve">Revenue movement</t>
  </si>
  <si>
    <t xml:space="preserve">Revenue growth</t>
  </si>
  <si>
    <t xml:space="preserve">Q3 operating expenses</t>
  </si>
  <si>
    <t xml:space="preserve">Q2 operating expenses</t>
  </si>
  <si>
    <t xml:space="preserve">Derived operating-result movement</t>
  </si>
  <si>
    <t xml:space="preserve">Reported operating-result movement</t>
  </si>
  <si>
    <t xml:space="preserve">Operating bridge difference</t>
  </si>
  <si>
    <t xml:space="preserve">The bridge reconciles revenue change, delivery-cost change and operating-expense change to the reported operating-result movement. It is an actual-period bridge, not a forecast or a causal attribution.</t>
  </si>
  <si>
    <t xml:space="preserve">Backlog commitment scale</t>
  </si>
  <si>
    <t xml:space="preserve">How large is remaining contracted work relative to current-quarter revenue and period-end headcount?</t>
  </si>
  <si>
    <t xml:space="preserve">Current-quarter revenue</t>
  </si>
  <si>
    <t xml:space="preserve">Backlog / quarter revenue</t>
  </si>
  <si>
    <t xml:space="preserve">Backlog / period-end employee</t>
  </si>
  <si>
    <t xml:space="preserve">Backlog source difference</t>
  </si>
  <si>
    <t xml:space="preserve">Backlog coverage and backlog per employee describe commitment scale at a point in time. They are not collection forecasts, cash balances, resource reserves or proof of available delivery capacity.</t>
  </si>
  <si>
    <t xml:space="preserve">Methodology and evidence boundaries</t>
  </si>
  <si>
    <t xml:space="preserve">Period and recognized source actuals: USD; Q3 2019; period ended 2019-09-30. Revenue $2,990,000; COGS $1,136,200; opex $3,430,700; operating result $-1,576,900. Recognize engineering and development revenue against accepted contracted work; do not recognize projected asteroid sales.</t>
  </si>
  <si>
    <t xml:space="preserve">Income reconciliation: Does recognized revenue cover delivery and operating costs?
Operating result remains negative after both delivery costs and development spending; the reconciliation isolates the reported loss rather than presenting revenue as profit.</t>
  </si>
  <si>
    <t xml:space="preserve">Contracted service economics: How do the three service categories reconcile, and what share comes from engineering?
Recognized service categories reconcile to revenue. Engineering share describes the revenue base; no category-level profit is inferred because delivery costs are not allocated by service category.</t>
  </si>
  <si>
    <t xml:space="preserve">Development spending intensity: How does research spending relate to revenue, workforce and total operating expense?
Research spending per period-end employee and relative to revenue exposes the development load. These ratios are descriptive; no capitalization, cash burn or return on investment is inferred.</t>
  </si>
  <si>
    <t xml:space="preserve">Delivery capacity and evidence quality: How do delivered work and accepted or rejected trials relate to the workforce snapshot?
Completed work packages and reference acceptance are separate operating measures. Rejected trials remain in the denominator, and workforce ratios do not claim unused capacity.</t>
  </si>
  <si>
    <t xml:space="preserve">Quarter-to-quarter operating bridge: Which recognized revenue and cost movements explain the change from Q2 to Q3?
The bridge reconciles revenue change, delivery-cost change and operating-expense change to the reported operating-result movement. It is an actual-period bridge, not a forecast or a causal attribution.</t>
  </si>
  <si>
    <t xml:space="preserve">Backlog commitment scale: How large is remaining contracted work relative to current-quarter revenue and period-end headcount?
Backlog coverage and backlog per employee describe commitment scale at a point in time. They are not collection forecasts, cash balances, resource reserves or proof of available delivery capacity.</t>
  </si>
  <si>
    <t xml:space="preserve">Methodology and limitations: Control interface revisions before combining independently tested subsystems. Principal risk: mass and power growth. Integrated ground prototypes remain development hardware. Continue the approved ground-development scope; no asteroid commodity revenue is included in the operating outlook. No forecast, balance sheet, liquidity estimate, resource valuation, or cash-flow conclusion is supplied. Formula-linked analyses use recognized USD amounts and period-end operating snapshots; changing source inputs updates the calculations without changing the stated business scope.</t>
  </si>
</sst>
</file>

<file path=xl/styles.xml><?xml version="1.0" encoding="utf-8"?>
<styleSheet xmlns="http://schemas.openxmlformats.org/spreadsheetml/2006/main">
  <numFmts count="6">
    <numFmt numFmtId="164" formatCode="General"/>
    <numFmt numFmtId="165" formatCode="\$#,##0;&quot;($&quot;#,##0\);\-"/>
    <numFmt numFmtId="166" formatCode="#,##0;\(#,##0\);\-"/>
    <numFmt numFmtId="167" formatCode="0.0%;\(0.0%\);\-"/>
    <numFmt numFmtId="168" formatCode="0.00"/>
    <numFmt numFmtId="169" formatCode="0.0\x"/>
  </numFmts>
  <fonts count="14">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sz val="11"/>
      <color rgb="FF18242D"/>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0"/>
      <name val="Arial"/>
      <family val="2"/>
    </font>
    <font>
      <sz val="11"/>
      <color rgb="FF008000"/>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8242D"/>
        <bgColor rgb="FF003300"/>
      </patternFill>
    </fill>
    <fill>
      <patternFill patternType="solid">
        <fgColor rgb="FFB5683A"/>
        <bgColor rgb="FF87878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Contracted service revenue</a:t>
            </a:r>
          </a:p>
        </c:rich>
      </c:tx>
      <c:overlay val="0"/>
      <c:spPr>
        <a:noFill/>
        <a:ln w="0">
          <a:noFill/>
        </a:ln>
      </c:spPr>
    </c:title>
    <c:autoTitleDeleted val="0"/>
    <c:plotArea>
      <c:barChart>
        <c:barDir val="col"/>
        <c:grouping val="clustered"/>
        <c:varyColors val="0"/>
        <c:ser>
          <c:idx val="0"/>
          <c:order val="0"/>
          <c:tx>
            <c:strRef>
              <c:f>'Service economics'!B7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'Service economics'!$A$8:$A$10</c:f>
              <c:strCache>
                <c:ptCount val="3"/>
                <c:pt idx="0">
                  <c:v>Engineering services</c:v>
                </c:pt>
                <c:pt idx="1">
                  <c:v>Instrument development</c:v>
                </c:pt>
                <c:pt idx="2">
                  <c:v>Mission analysis</c:v>
                </c:pt>
              </c:strCache>
            </c:strRef>
          </c:cat>
          <c:val>
            <c:numRef>
              <c:f>'Service economics'!$B$8:$B$10</c:f>
              <c:numCache>
                <c:formatCode>\$#,##0;"($"#,##0\);\-</c:formatCode>
                <c:ptCount val="3"/>
                <c:pt idx="0">
                  <c:v>2063100</c:v>
                </c:pt>
                <c:pt idx="1">
                  <c:v>627900</c:v>
                </c:pt>
                <c:pt idx="2">
                  <c:v>299000</c:v>
                </c:pt>
              </c:numCache>
            </c:numRef>
          </c:val>
        </c:ser>
        <c:gapWidth val="150"/>
        <c:overlap val="0"/>
        <c:axId val="15439512"/>
        <c:axId val="76299082"/>
      </c:barChart>
      <c:catAx>
        <c:axId val="1543951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6299082"/>
        <c:crosses val="autoZero"/>
        <c:auto val="1"/>
        <c:lblAlgn val="ctr"/>
        <c:lblOffset val="100"/>
        <c:noMultiLvlLbl val="0"/>
      </c:catAx>
      <c:valAx>
        <c:axId val="76299082"/>
        <c:scaling>
          <c:orientation val="minMax"/>
          <c:min val="0"/>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5439512"/>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Revenue recognition: Q2 and Q3</a:t>
            </a:r>
          </a:p>
        </c:rich>
      </c:tx>
      <c:overlay val="0"/>
      <c:spPr>
        <a:noFill/>
        <a:ln w="0">
          <a:noFill/>
        </a:ln>
      </c:spPr>
    </c:title>
    <c:autoTitleDeleted val="0"/>
    <c:plotArea>
      <c:barChart>
        <c:barDir val="col"/>
        <c:grouping val="clustered"/>
        <c:varyColors val="0"/>
        <c:ser>
          <c:idx val="0"/>
          <c:order val="0"/>
          <c:tx>
            <c:strRef>
              <c:f>'Quarter bridge'!B7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'Quarter bridge'!$A$8:$A$9</c:f>
              <c:strCache>
                <c:ptCount val="2"/>
                <c:pt idx="0">
                  <c:v>Q3 recognized revenue</c:v>
                </c:pt>
                <c:pt idx="1">
                  <c:v>Q2 recognized revenue</c:v>
                </c:pt>
              </c:strCache>
            </c:strRef>
          </c:cat>
          <c:val>
            <c:numRef>
              <c:f>'Quarter bridge'!$B$8:$B$9</c:f>
              <c:numCache>
                <c:formatCode>\$#,##0;"($"#,##0\);\-</c:formatCode>
                <c:ptCount val="2"/>
                <c:pt idx="0">
                  <c:v>2990000</c:v>
                </c:pt>
                <c:pt idx="1">
                  <c:v>2645000</c:v>
                </c:pt>
              </c:numCache>
            </c:numRef>
          </c:val>
        </c:ser>
        <c:gapWidth val="150"/>
        <c:overlap val="0"/>
        <c:axId val="84479326"/>
        <c:axId val="26310038"/>
      </c:barChart>
      <c:catAx>
        <c:axId val="8447932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6310038"/>
        <c:crosses val="autoZero"/>
        <c:auto val="1"/>
        <c:lblAlgn val="ctr"/>
        <c:lblOffset val="100"/>
        <c:noMultiLvlLbl val="0"/>
      </c:catAx>
      <c:valAx>
        <c:axId val="26310038"/>
        <c:scaling>
          <c:orientation val="minMax"/>
          <c:min val="0"/>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4479326"/>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1"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2"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12"/>
    <col collapsed="false" customWidth="true" hidden="false" outlineLevel="0" max="4" min="4" style="0" width="33"/>
    <col collapsed="false" customWidth="true" hidden="false" outlineLevel="0" max="7" min="5" style="0" width="22"/>
    <col collapsed="false" customWidth="true" hidden="false" outlineLevel="0" max="8" min="8" style="0" width="19"/>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45.75" hidden="false" customHeight="true" outlineLevel="0" collapsed="false">
      <c r="A5" s="3" t="s">
        <v>2</v>
      </c>
      <c r="B5" s="3"/>
      <c r="C5" s="3"/>
      <c r="D5" s="3"/>
      <c r="E5" s="3"/>
      <c r="F5" s="3"/>
      <c r="G5" s="3"/>
      <c r="H5" s="3"/>
    </row>
    <row r="7" customFormat="false" ht="22.5" hidden="false" customHeight="true" outlineLevel="0" collapsed="false">
      <c r="A7" s="4" t="s">
        <v>3</v>
      </c>
      <c r="B7" s="4" t="s">
        <v>4</v>
      </c>
      <c r="C7" s="4" t="s">
        <v>5</v>
      </c>
      <c r="D7" s="4" t="s">
        <v>6</v>
      </c>
      <c r="E7" s="4" t="s">
        <v>7</v>
      </c>
      <c r="F7" s="4" t="s">
        <v>8</v>
      </c>
      <c r="G7" s="4" t="s">
        <v>9</v>
      </c>
    </row>
    <row r="8" customFormat="false" ht="15" hidden="false" customHeight="false" outlineLevel="0" collapsed="false">
      <c r="A8" s="5" t="s">
        <v>10</v>
      </c>
      <c r="B8" s="6" t="n">
        <v>2990000</v>
      </c>
      <c r="C8" s="7" t="s">
        <v>11</v>
      </c>
      <c r="D8" s="5" t="s">
        <v>10</v>
      </c>
      <c r="E8" s="6" t="n">
        <v>2300000</v>
      </c>
      <c r="F8" s="6" t="n">
        <v>2645000</v>
      </c>
      <c r="G8" s="6" t="n">
        <v>2990000</v>
      </c>
    </row>
    <row r="9" customFormat="false" ht="15" hidden="false" customHeight="false" outlineLevel="0" collapsed="false">
      <c r="A9" s="5" t="s">
        <v>12</v>
      </c>
      <c r="B9" s="6" t="n">
        <v>1136200</v>
      </c>
      <c r="C9" s="7" t="s">
        <v>11</v>
      </c>
      <c r="D9" s="5" t="s">
        <v>12</v>
      </c>
      <c r="E9" s="6" t="n">
        <v>874000</v>
      </c>
      <c r="F9" s="6" t="n">
        <v>1005100</v>
      </c>
      <c r="G9" s="6" t="n">
        <v>1136200</v>
      </c>
    </row>
    <row r="10" customFormat="false" ht="15" hidden="false" customHeight="false" outlineLevel="0" collapsed="false">
      <c r="A10" s="5" t="s">
        <v>13</v>
      </c>
      <c r="B10" s="6" t="n">
        <v>3430700</v>
      </c>
      <c r="C10" s="7" t="s">
        <v>11</v>
      </c>
      <c r="D10" s="5" t="s">
        <v>13</v>
      </c>
      <c r="E10" s="6" t="n">
        <v>2639000</v>
      </c>
      <c r="F10" s="6" t="n">
        <v>3034850</v>
      </c>
      <c r="G10" s="6" t="n">
        <v>3430700</v>
      </c>
    </row>
    <row r="11" customFormat="false" ht="15" hidden="false" customHeight="false" outlineLevel="0" collapsed="false">
      <c r="A11" s="5" t="s">
        <v>14</v>
      </c>
      <c r="B11" s="6" t="n">
        <v>-1576900</v>
      </c>
      <c r="C11" s="7" t="s">
        <v>11</v>
      </c>
      <c r="D11" s="5" t="s">
        <v>14</v>
      </c>
      <c r="E11" s="6" t="n">
        <v>-1213000</v>
      </c>
      <c r="F11" s="6" t="n">
        <v>-1394950</v>
      </c>
      <c r="G11" s="6" t="n">
        <v>-1576900</v>
      </c>
    </row>
    <row r="12" customFormat="false" ht="15" hidden="false" customHeight="false" outlineLevel="0" collapsed="false">
      <c r="A12" s="5" t="s">
        <v>15</v>
      </c>
      <c r="B12" s="8" t="n">
        <v>73</v>
      </c>
      <c r="C12" s="7" t="s">
        <v>16</v>
      </c>
      <c r="D12" s="5" t="s">
        <v>15</v>
      </c>
      <c r="E12" s="8" t="n">
        <v>65</v>
      </c>
      <c r="F12" s="8" t="n">
        <v>69</v>
      </c>
      <c r="G12" s="8" t="n">
        <v>73</v>
      </c>
    </row>
    <row r="13" customFormat="false" ht="15" hidden="false" customHeight="false" outlineLevel="0" collapsed="false">
      <c r="A13" s="5" t="s">
        <v>17</v>
      </c>
      <c r="B13" s="6" t="n">
        <v>2063100</v>
      </c>
      <c r="C13" s="7" t="s">
        <v>11</v>
      </c>
      <c r="D13" s="5" t="s">
        <v>17</v>
      </c>
      <c r="E13" s="6" t="n">
        <v>1587000</v>
      </c>
      <c r="F13" s="6" t="n">
        <v>1825050</v>
      </c>
      <c r="G13" s="6" t="n">
        <v>2063100</v>
      </c>
    </row>
    <row r="14" customFormat="false" ht="15" hidden="false" customHeight="false" outlineLevel="0" collapsed="false">
      <c r="A14" s="5" t="s">
        <v>18</v>
      </c>
      <c r="B14" s="6" t="n">
        <v>627900</v>
      </c>
      <c r="C14" s="7" t="s">
        <v>11</v>
      </c>
      <c r="D14" s="5" t="s">
        <v>18</v>
      </c>
      <c r="E14" s="6" t="n">
        <v>483000</v>
      </c>
      <c r="F14" s="6" t="n">
        <v>555450</v>
      </c>
      <c r="G14" s="6" t="n">
        <v>627900</v>
      </c>
    </row>
    <row r="15" customFormat="false" ht="15" hidden="false" customHeight="false" outlineLevel="0" collapsed="false">
      <c r="A15" s="5" t="s">
        <v>19</v>
      </c>
      <c r="B15" s="6" t="n">
        <v>299000</v>
      </c>
      <c r="C15" s="7" t="s">
        <v>11</v>
      </c>
      <c r="D15" s="5" t="s">
        <v>19</v>
      </c>
      <c r="E15" s="6" t="n">
        <v>230000</v>
      </c>
      <c r="F15" s="6" t="n">
        <v>264500</v>
      </c>
      <c r="G15" s="6" t="n">
        <v>299000</v>
      </c>
    </row>
    <row r="16" customFormat="false" ht="15" hidden="false" customHeight="false" outlineLevel="0" collapsed="false">
      <c r="A16" s="5" t="s">
        <v>20</v>
      </c>
      <c r="B16" s="6" t="n">
        <v>2470104</v>
      </c>
      <c r="C16" s="7" t="s">
        <v>11</v>
      </c>
      <c r="D16" s="5" t="s">
        <v>20</v>
      </c>
      <c r="E16" s="6" t="n">
        <v>1900080</v>
      </c>
      <c r="F16" s="6" t="n">
        <v>2185092</v>
      </c>
      <c r="G16" s="6" t="n">
        <v>2470104</v>
      </c>
    </row>
    <row r="17" customFormat="false" ht="15" hidden="false" customHeight="false" outlineLevel="0" collapsed="false">
      <c r="A17" s="5" t="s">
        <v>21</v>
      </c>
      <c r="B17" s="6" t="n">
        <v>617526</v>
      </c>
      <c r="C17" s="7" t="s">
        <v>11</v>
      </c>
      <c r="D17" s="5" t="s">
        <v>21</v>
      </c>
      <c r="E17" s="6" t="n">
        <v>475020</v>
      </c>
      <c r="F17" s="6" t="n">
        <v>546273</v>
      </c>
      <c r="G17" s="6" t="n">
        <v>617526</v>
      </c>
    </row>
    <row r="18" customFormat="false" ht="15" hidden="false" customHeight="false" outlineLevel="0" collapsed="false">
      <c r="A18" s="5" t="s">
        <v>22</v>
      </c>
      <c r="B18" s="6" t="n">
        <v>343070</v>
      </c>
      <c r="C18" s="7" t="s">
        <v>11</v>
      </c>
      <c r="D18" s="5" t="s">
        <v>22</v>
      </c>
      <c r="E18" s="6" t="n">
        <v>263900</v>
      </c>
      <c r="F18" s="6" t="n">
        <v>303485</v>
      </c>
      <c r="G18" s="6" t="n">
        <v>343070</v>
      </c>
    </row>
    <row r="19" customFormat="false" ht="15" hidden="false" customHeight="false" outlineLevel="0" collapsed="false">
      <c r="A19" s="5" t="s">
        <v>23</v>
      </c>
      <c r="B19" s="6" t="n">
        <v>23920000</v>
      </c>
      <c r="C19" s="7" t="s">
        <v>11</v>
      </c>
      <c r="D19" s="5" t="s">
        <v>23</v>
      </c>
      <c r="E19" s="6" t="n">
        <v>13800000</v>
      </c>
      <c r="F19" s="6" t="n">
        <v>18515000</v>
      </c>
      <c r="G19" s="6" t="n">
        <v>23920000</v>
      </c>
    </row>
    <row r="20" customFormat="false" ht="15" hidden="false" customHeight="false" outlineLevel="0" collapsed="false">
      <c r="A20" s="5" t="s">
        <v>24</v>
      </c>
      <c r="B20" s="8" t="n">
        <v>27</v>
      </c>
      <c r="C20" s="7" t="s">
        <v>16</v>
      </c>
      <c r="D20" s="5" t="s">
        <v>24</v>
      </c>
      <c r="E20" s="8" t="n">
        <v>25</v>
      </c>
      <c r="F20" s="8" t="n">
        <v>26</v>
      </c>
      <c r="G20" s="8" t="n">
        <v>27</v>
      </c>
    </row>
    <row r="21" customFormat="false" ht="15" hidden="false" customHeight="false" outlineLevel="0" collapsed="false">
      <c r="A21" s="5" t="s">
        <v>25</v>
      </c>
      <c r="B21" s="8" t="n">
        <v>63</v>
      </c>
      <c r="C21" s="7" t="s">
        <v>16</v>
      </c>
      <c r="D21" s="5" t="s">
        <v>25</v>
      </c>
      <c r="E21" s="8" t="n">
        <v>57</v>
      </c>
      <c r="F21" s="8" t="n">
        <v>60</v>
      </c>
      <c r="G21" s="8" t="n">
        <v>63</v>
      </c>
    </row>
    <row r="22" customFormat="false" ht="15" hidden="false" customHeight="false" outlineLevel="0" collapsed="false">
      <c r="A22" s="5" t="s">
        <v>26</v>
      </c>
      <c r="B22" s="8" t="n">
        <v>6</v>
      </c>
      <c r="C22" s="7" t="s">
        <v>16</v>
      </c>
      <c r="D22" s="5" t="s">
        <v>26</v>
      </c>
      <c r="E22" s="8" t="n">
        <v>4</v>
      </c>
      <c r="F22" s="8" t="n">
        <v>5</v>
      </c>
      <c r="G22" s="8" t="n">
        <v>6</v>
      </c>
    </row>
    <row r="25" customFormat="false" ht="39.75" hidden="false" customHeight="true" outlineLevel="0" collapsed="false">
      <c r="A25" s="3" t="s">
        <v>27</v>
      </c>
      <c r="B25" s="3"/>
      <c r="C25" s="3"/>
      <c r="D25" s="3"/>
      <c r="E25" s="3"/>
      <c r="F25" s="3"/>
      <c r="G25" s="3"/>
      <c r="H25" s="3"/>
    </row>
    <row r="28" customFormat="false" ht="39.75" hidden="false" customHeight="true" outlineLevel="0" collapsed="false">
      <c r="A28" s="3" t="s">
        <v>28</v>
      </c>
      <c r="B28" s="3"/>
      <c r="C28" s="3"/>
      <c r="D28" s="3"/>
      <c r="E28" s="3"/>
      <c r="F28" s="3"/>
      <c r="G28" s="3"/>
      <c r="H28" s="3"/>
    </row>
  </sheetData>
  <mergeCells count="4">
    <mergeCell ref="A1:H2"/>
    <mergeCell ref="A5:H5"/>
    <mergeCell ref="A25:H25"/>
    <mergeCell ref="A28:H28"/>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29</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30</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10</v>
      </c>
      <c r="B8" s="9" t="n">
        <f aca="false">'Source actuals'!B8</f>
        <v>2990000</v>
      </c>
    </row>
    <row r="9" customFormat="false" ht="15" hidden="false" customHeight="false" outlineLevel="0" collapsed="false">
      <c r="A9" s="5" t="s">
        <v>12</v>
      </c>
      <c r="B9" s="9" t="n">
        <f aca="false">'Source actuals'!B9</f>
        <v>1136200</v>
      </c>
    </row>
    <row r="10" customFormat="false" ht="15" hidden="false" customHeight="false" outlineLevel="0" collapsed="false">
      <c r="A10" s="5" t="s">
        <v>13</v>
      </c>
      <c r="B10" s="9" t="n">
        <f aca="false">'Source actuals'!B10</f>
        <v>3430700</v>
      </c>
    </row>
    <row r="11" customFormat="false" ht="15" hidden="false" customHeight="false" outlineLevel="0" collapsed="false">
      <c r="A11" s="5" t="s">
        <v>33</v>
      </c>
      <c r="B11" s="10" t="n">
        <f aca="false">B8-B9-B10</f>
        <v>-1576900</v>
      </c>
    </row>
    <row r="12" customFormat="false" ht="15" hidden="false" customHeight="false" outlineLevel="0" collapsed="false">
      <c r="A12" s="5" t="s">
        <v>34</v>
      </c>
      <c r="B12" s="9" t="n">
        <f aca="false">'Source actuals'!B11</f>
        <v>-1576900</v>
      </c>
    </row>
    <row r="14" customFormat="false" ht="15" hidden="false" customHeight="false" outlineLevel="0" collapsed="false">
      <c r="A14" s="5" t="s">
        <v>35</v>
      </c>
      <c r="B14" s="10" t="n">
        <f aca="false">B11-B12</f>
        <v>0</v>
      </c>
      <c r="C14" s="5" t="str">
        <f aca="false">IF(B14=0,"RECONCILED","REVIEW")</f>
        <v>RECONCILED</v>
      </c>
    </row>
    <row r="26" customFormat="false" ht="60" hidden="false" customHeight="true" outlineLevel="0" collapsed="false">
      <c r="A26" s="3" t="s">
        <v>36</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38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39</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17</v>
      </c>
      <c r="B8" s="9" t="n">
        <f aca="false">'Source actuals'!B13</f>
        <v>2063100</v>
      </c>
      <c r="C8" s="11" t="n">
        <f aca="false">IF(B11=0,0,B8/B11)</f>
        <v>0.69</v>
      </c>
    </row>
    <row r="9" customFormat="false" ht="15" hidden="false" customHeight="false" outlineLevel="0" collapsed="false">
      <c r="A9" s="5" t="s">
        <v>18</v>
      </c>
      <c r="B9" s="9" t="n">
        <f aca="false">'Source actuals'!B14</f>
        <v>627900</v>
      </c>
      <c r="C9" s="11" t="n">
        <f aca="false">IF(B11=0,0,B9/B11)</f>
        <v>0.21</v>
      </c>
    </row>
    <row r="10" customFormat="false" ht="15" hidden="false" customHeight="false" outlineLevel="0" collapsed="false">
      <c r="A10" s="5" t="s">
        <v>19</v>
      </c>
      <c r="B10" s="9" t="n">
        <f aca="false">'Source actuals'!B15</f>
        <v>299000</v>
      </c>
      <c r="C10" s="11" t="n">
        <f aca="false">IF(B11=0,0,B10/B11)</f>
        <v>0.1</v>
      </c>
    </row>
    <row r="11" customFormat="false" ht="15" hidden="false" customHeight="false" outlineLevel="0" collapsed="false">
      <c r="A11" s="5" t="s">
        <v>40</v>
      </c>
      <c r="B11" s="10" t="n">
        <f aca="false">SUM(B8:B10)</f>
        <v>2990000</v>
      </c>
    </row>
    <row r="12" customFormat="false" ht="15" hidden="false" customHeight="false" outlineLevel="0" collapsed="false">
      <c r="A12" s="5" t="s">
        <v>10</v>
      </c>
      <c r="B12" s="9" t="n">
        <f aca="false">'Source actuals'!B8</f>
        <v>2990000</v>
      </c>
    </row>
    <row r="14" customFormat="false" ht="15" hidden="false" customHeight="false" outlineLevel="0" collapsed="false">
      <c r="A14" s="5" t="s">
        <v>41</v>
      </c>
      <c r="B14" s="10" t="n">
        <f aca="false">B11-B12</f>
        <v>0</v>
      </c>
      <c r="C14" s="5" t="str">
        <f aca="false">IF(B14=0,"RECONCILED","REVIEW")</f>
        <v>RECONCILED</v>
      </c>
    </row>
    <row r="26" customFormat="false" ht="60" hidden="false" customHeight="true" outlineLevel="0" collapsed="false">
      <c r="A26" s="3" t="s">
        <v>42</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43</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44</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45</v>
      </c>
      <c r="B8" s="9" t="n">
        <f aca="false">'Source actuals'!B16</f>
        <v>2470104</v>
      </c>
    </row>
    <row r="9" customFormat="false" ht="15" hidden="false" customHeight="false" outlineLevel="0" collapsed="false">
      <c r="A9" s="5" t="s">
        <v>46</v>
      </c>
      <c r="B9" s="12" t="n">
        <f aca="false">'Source actuals'!B16/'Source actuals'!B8</f>
        <v>0.826121739130435</v>
      </c>
    </row>
    <row r="10" customFormat="false" ht="15" hidden="false" customHeight="false" outlineLevel="0" collapsed="false">
      <c r="A10" s="5" t="s">
        <v>47</v>
      </c>
      <c r="B10" s="9" t="n">
        <f aca="false">'Source actuals'!B16/'Source actuals'!B12</f>
        <v>33837.0410958904</v>
      </c>
    </row>
    <row r="11" customFormat="false" ht="15" hidden="false" customHeight="false" outlineLevel="0" collapsed="false">
      <c r="A11" s="5" t="s">
        <v>48</v>
      </c>
      <c r="B11" s="12" t="n">
        <f aca="false">'Source actuals'!B16/'Source actuals'!B10</f>
        <v>0.72</v>
      </c>
    </row>
    <row r="12" customFormat="false" ht="15" hidden="false" customHeight="false" outlineLevel="0" collapsed="false">
      <c r="A12" s="5" t="s">
        <v>21</v>
      </c>
      <c r="B12" s="9" t="n">
        <f aca="false">'Source actuals'!B17</f>
        <v>617526</v>
      </c>
    </row>
    <row r="13" customFormat="false" ht="15" hidden="false" customHeight="false" outlineLevel="0" collapsed="false">
      <c r="A13" s="5" t="s">
        <v>49</v>
      </c>
      <c r="B13" s="9" t="n">
        <f aca="false">'Source actuals'!B18</f>
        <v>343070</v>
      </c>
    </row>
    <row r="14" customFormat="false" ht="15" hidden="false" customHeight="false" outlineLevel="0" collapsed="false">
      <c r="A14" s="5" t="s">
        <v>50</v>
      </c>
      <c r="B14" s="9" t="n">
        <f aca="false">B8+B12+B13-'Source actuals'!B10</f>
        <v>0</v>
      </c>
      <c r="C14" s="5" t="str">
        <f aca="false">IF(B14=0,"RECONCILED","REVIEW")</f>
        <v>RECONCILED</v>
      </c>
    </row>
    <row r="26" customFormat="false" ht="60" hidden="false" customHeight="true" outlineLevel="0" collapsed="false">
      <c r="A26" s="3" t="s">
        <v>51</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53</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15</v>
      </c>
      <c r="B8" s="13" t="n">
        <f aca="false">'Source actuals'!B12</f>
        <v>73</v>
      </c>
    </row>
    <row r="9" customFormat="false" ht="15" hidden="false" customHeight="false" outlineLevel="0" collapsed="false">
      <c r="A9" s="5" t="s">
        <v>24</v>
      </c>
      <c r="B9" s="13" t="n">
        <f aca="false">'Source actuals'!B20</f>
        <v>27</v>
      </c>
    </row>
    <row r="10" customFormat="false" ht="15" hidden="false" customHeight="false" outlineLevel="0" collapsed="false">
      <c r="A10" s="5" t="s">
        <v>54</v>
      </c>
      <c r="B10" s="14" t="n">
        <f aca="false">B9/B8</f>
        <v>0.36986301369863</v>
      </c>
    </row>
    <row r="11" customFormat="false" ht="15" hidden="false" customHeight="false" outlineLevel="0" collapsed="false">
      <c r="A11" s="5" t="s">
        <v>25</v>
      </c>
      <c r="B11" s="13" t="n">
        <f aca="false">'Source actuals'!B21</f>
        <v>63</v>
      </c>
    </row>
    <row r="12" customFormat="false" ht="15" hidden="false" customHeight="false" outlineLevel="0" collapsed="false">
      <c r="A12" s="5" t="s">
        <v>26</v>
      </c>
      <c r="B12" s="13" t="n">
        <f aca="false">'Source actuals'!B22</f>
        <v>6</v>
      </c>
    </row>
    <row r="13" customFormat="false" ht="15" hidden="false" customHeight="false" outlineLevel="0" collapsed="false">
      <c r="A13" s="5" t="s">
        <v>55</v>
      </c>
      <c r="B13" s="15" t="n">
        <f aca="false">SUM(B11:B12)</f>
        <v>69</v>
      </c>
    </row>
    <row r="14" customFormat="false" ht="15" hidden="false" customHeight="false" outlineLevel="0" collapsed="false">
      <c r="A14" s="5" t="s">
        <v>56</v>
      </c>
      <c r="B14" s="11" t="n">
        <f aca="false">B11/B13</f>
        <v>0.91304347826087</v>
      </c>
    </row>
    <row r="16" customFormat="false" ht="15" hidden="false" customHeight="false" outlineLevel="0" collapsed="false">
      <c r="A16" s="5" t="s">
        <v>57</v>
      </c>
      <c r="B16" s="15" t="n">
        <f aca="false">B13-B11-B12</f>
        <v>0</v>
      </c>
      <c r="C16" s="5" t="str">
        <f aca="false">IF(B16=0,"RECONCILED","REVIEW")</f>
        <v>RECONCILED</v>
      </c>
    </row>
    <row r="26" customFormat="false" ht="60" hidden="false" customHeight="true" outlineLevel="0" collapsed="false">
      <c r="A26" s="3" t="s">
        <v>58</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59</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60</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61</v>
      </c>
      <c r="B8" s="9" t="n">
        <f aca="false">'Source actuals'!G8</f>
        <v>2990000</v>
      </c>
    </row>
    <row r="9" customFormat="false" ht="15" hidden="false" customHeight="false" outlineLevel="0" collapsed="false">
      <c r="A9" s="5" t="s">
        <v>62</v>
      </c>
      <c r="B9" s="9" t="n">
        <f aca="false">'Source actuals'!F8</f>
        <v>2645000</v>
      </c>
    </row>
    <row r="10" customFormat="false" ht="15" hidden="false" customHeight="false" outlineLevel="0" collapsed="false">
      <c r="A10" s="5" t="s">
        <v>63</v>
      </c>
      <c r="B10" s="10" t="n">
        <f aca="false">B8-B9</f>
        <v>345000</v>
      </c>
    </row>
    <row r="11" customFormat="false" ht="15" hidden="false" customHeight="false" outlineLevel="0" collapsed="false">
      <c r="A11" s="5" t="s">
        <v>64</v>
      </c>
      <c r="B11" s="11" t="n">
        <f aca="false">B10/B9</f>
        <v>0.130434782608696</v>
      </c>
    </row>
    <row r="12" customFormat="false" ht="15" hidden="false" customHeight="false" outlineLevel="0" collapsed="false">
      <c r="A12" s="5" t="s">
        <v>65</v>
      </c>
      <c r="B12" s="9" t="n">
        <f aca="false">'Source actuals'!G10</f>
        <v>3430700</v>
      </c>
    </row>
    <row r="13" customFormat="false" ht="15" hidden="false" customHeight="false" outlineLevel="0" collapsed="false">
      <c r="A13" s="5" t="s">
        <v>66</v>
      </c>
      <c r="B13" s="9" t="n">
        <f aca="false">'Source actuals'!F10</f>
        <v>3034850</v>
      </c>
    </row>
    <row r="14" customFormat="false" ht="15" hidden="false" customHeight="false" outlineLevel="0" collapsed="false">
      <c r="A14" s="5" t="s">
        <v>67</v>
      </c>
      <c r="B14" s="9" t="n">
        <f aca="false">B10-('Source actuals'!G9-'Source actuals'!F9)-(B12-B13)</f>
        <v>-181950</v>
      </c>
    </row>
    <row r="15" customFormat="false" ht="15" hidden="false" customHeight="false" outlineLevel="0" collapsed="false">
      <c r="A15" s="5" t="s">
        <v>68</v>
      </c>
      <c r="B15" s="9" t="n">
        <f aca="false">'Source actuals'!G11-'Source actuals'!F11</f>
        <v>-181950</v>
      </c>
    </row>
    <row r="17" customFormat="false" ht="15" hidden="false" customHeight="false" outlineLevel="0" collapsed="false">
      <c r="A17" s="5" t="s">
        <v>69</v>
      </c>
      <c r="B17" s="10" t="n">
        <f aca="false">B14-B15</f>
        <v>0</v>
      </c>
      <c r="C17" s="5" t="str">
        <f aca="false">IF(B17=0,"RECONCILED","REVIEW")</f>
        <v>RECONCILED</v>
      </c>
    </row>
    <row r="26" customFormat="false" ht="60" hidden="false" customHeight="true" outlineLevel="0" collapsed="false">
      <c r="A26" s="3" t="s">
        <v>70</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71</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72</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23</v>
      </c>
      <c r="B8" s="9" t="n">
        <f aca="false">'Source actuals'!B19</f>
        <v>23920000</v>
      </c>
    </row>
    <row r="9" customFormat="false" ht="15" hidden="false" customHeight="false" outlineLevel="0" collapsed="false">
      <c r="A9" s="5" t="s">
        <v>73</v>
      </c>
      <c r="B9" s="9" t="n">
        <f aca="false">'Source actuals'!B8</f>
        <v>2990000</v>
      </c>
    </row>
    <row r="10" customFormat="false" ht="15" hidden="false" customHeight="false" outlineLevel="0" collapsed="false">
      <c r="A10" s="5" t="s">
        <v>74</v>
      </c>
      <c r="B10" s="16" t="n">
        <f aca="false">B8/B9</f>
        <v>8</v>
      </c>
    </row>
    <row r="11" customFormat="false" ht="15" hidden="false" customHeight="false" outlineLevel="0" collapsed="false">
      <c r="A11" s="5" t="s">
        <v>15</v>
      </c>
      <c r="B11" s="13" t="n">
        <f aca="false">'Source actuals'!B12</f>
        <v>73</v>
      </c>
    </row>
    <row r="12" customFormat="false" ht="15" hidden="false" customHeight="false" outlineLevel="0" collapsed="false">
      <c r="A12" s="5" t="s">
        <v>75</v>
      </c>
      <c r="B12" s="10" t="n">
        <f aca="false">B8/B11</f>
        <v>327671.232876712</v>
      </c>
    </row>
    <row r="14" customFormat="false" ht="15" hidden="false" customHeight="false" outlineLevel="0" collapsed="false">
      <c r="A14" s="5" t="s">
        <v>76</v>
      </c>
      <c r="B14" s="9" t="n">
        <f aca="false">B8-'Source actuals'!B19</f>
        <v>0</v>
      </c>
      <c r="C14" s="5" t="str">
        <f aca="false">IF(B14=0,"RECONCILED","REVIEW")</f>
        <v>RECONCILED</v>
      </c>
    </row>
    <row r="26" customFormat="false" ht="60" hidden="false" customHeight="true" outlineLevel="0" collapsed="false">
      <c r="A26" s="3" t="s">
        <v>77</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61.5" hidden="false" customHeight="true" outlineLevel="0" collapsed="false">
      <c r="A5" s="3" t="s">
        <v>79</v>
      </c>
      <c r="B5" s="3"/>
      <c r="C5" s="3"/>
      <c r="D5" s="3"/>
      <c r="E5" s="3"/>
      <c r="F5" s="3"/>
      <c r="G5" s="3"/>
      <c r="H5" s="3"/>
    </row>
    <row r="7" customFormat="false" ht="22.5" hidden="false" customHeight="true" outlineLevel="0" collapsed="false"/>
    <row r="8" customFormat="false" ht="61.5" hidden="false" customHeight="true" outlineLevel="0" collapsed="false">
      <c r="A8" s="3" t="s">
        <v>80</v>
      </c>
      <c r="B8" s="3"/>
      <c r="C8" s="3"/>
      <c r="D8" s="3"/>
      <c r="E8" s="3"/>
      <c r="F8" s="3"/>
      <c r="G8" s="3"/>
      <c r="H8" s="3"/>
    </row>
    <row r="11" customFormat="false" ht="61.5" hidden="false" customHeight="true" outlineLevel="0" collapsed="false">
      <c r="A11" s="3" t="s">
        <v>81</v>
      </c>
      <c r="B11" s="3"/>
      <c r="C11" s="3"/>
      <c r="D11" s="3"/>
      <c r="E11" s="3"/>
      <c r="F11" s="3"/>
      <c r="G11" s="3"/>
      <c r="H11" s="3"/>
    </row>
    <row r="14" customFormat="false" ht="61.5" hidden="false" customHeight="true" outlineLevel="0" collapsed="false">
      <c r="A14" s="3" t="s">
        <v>82</v>
      </c>
      <c r="B14" s="3"/>
      <c r="C14" s="3"/>
      <c r="D14" s="3"/>
      <c r="E14" s="3"/>
      <c r="F14" s="3"/>
      <c r="G14" s="3"/>
      <c r="H14" s="3"/>
    </row>
    <row r="17" customFormat="false" ht="61.5" hidden="false" customHeight="true" outlineLevel="0" collapsed="false">
      <c r="A17" s="3" t="s">
        <v>83</v>
      </c>
      <c r="B17" s="3"/>
      <c r="C17" s="3"/>
      <c r="D17" s="3"/>
      <c r="E17" s="3"/>
      <c r="F17" s="3"/>
      <c r="G17" s="3"/>
      <c r="H17" s="3"/>
    </row>
    <row r="20" customFormat="false" ht="61.5" hidden="false" customHeight="true" outlineLevel="0" collapsed="false">
      <c r="A20" s="3" t="s">
        <v>84</v>
      </c>
      <c r="B20" s="3"/>
      <c r="C20" s="3"/>
      <c r="D20" s="3"/>
      <c r="E20" s="3"/>
      <c r="F20" s="3"/>
      <c r="G20" s="3"/>
      <c r="H20" s="3"/>
    </row>
    <row r="23" customFormat="false" ht="61.5" hidden="false" customHeight="true" outlineLevel="0" collapsed="false">
      <c r="A23" s="3" t="s">
        <v>85</v>
      </c>
      <c r="B23" s="3"/>
      <c r="C23" s="3"/>
      <c r="D23" s="3"/>
      <c r="E23" s="3"/>
      <c r="F23" s="3"/>
      <c r="G23" s="3"/>
      <c r="H23" s="3"/>
    </row>
    <row r="26" customFormat="false" ht="61.5" hidden="false" customHeight="true" outlineLevel="0" collapsed="false">
      <c r="A26" s="3" t="s">
        <v>86</v>
      </c>
      <c r="B26" s="3"/>
      <c r="C26" s="3"/>
      <c r="D26" s="3"/>
      <c r="E26" s="3"/>
      <c r="F26" s="3"/>
      <c r="G26" s="3"/>
      <c r="H26" s="3"/>
    </row>
  </sheetData>
  <mergeCells count="9">
    <mergeCell ref="A1:H2"/>
    <mergeCell ref="A5:H5"/>
    <mergeCell ref="A8:H8"/>
    <mergeCell ref="A11:H11"/>
    <mergeCell ref="A14:H14"/>
    <mergeCell ref="A17:H17"/>
    <mergeCell ref="A20:H20"/>
    <mergeCell ref="A23:H23"/>
    <mergeCell ref="A26:H26"/>
  </mergeCells>
  <printOptions headings="false" gridLines="false" gridLinesSet="true" horizontalCentered="true" verticalCentered="false"/>
  <pageMargins left="0.75" right="0.75" top="1" bottom="1" header="0.511811023622047" footer="0.5"/>
  <pageSetup paperSize="9" scale="100" fitToWidth="1" fitToHeight="2"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2026-10-08T21:43:44Z</dcterms:created>
  <dc:creator>AstroDig LLC</dc:creator>
  <dc:description/>
  <dc:language>en-US</dc:language>
  <cp:lastModifiedBy/>
  <dcterms:modified xsi:type="dcterms:W3CDTF">2026-10-08T21:43:44Z</dcterms:modified>
  <cp:revision>0</cp:revision>
  <dc:subject>USD operating performance</dc:subject>
  <dc:title>AstroDig LLC - Q3 2019 Service Economics and Development Spending</dc:title>
</cp:coreProperties>
</file>

<file path=docProps/custom.xml><?xml version="1.0" encoding="utf-8"?>
<Properties xmlns="http://schemas.openxmlformats.org/officeDocument/2006/custom-properties" xmlns:vt="http://schemas.openxmlformats.org/officeDocument/2006/docPropsVTypes"/>
</file>