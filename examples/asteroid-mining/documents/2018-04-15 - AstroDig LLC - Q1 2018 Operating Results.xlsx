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2018-04-15, Q1 2018, Recognized revenue.</t>
        </r>
      </text>
    </comment>
    <comment ref="B9" authorId="0">
      <text>
        <r>
          <rPr>
            <sz val="10"/>
            <rFont val="Arial"/>
            <family val="2"/>
          </rPr>
          <t xml:space="preserve">Source: AstroDig operating ledger, 2018-04-15, Q1 2018, Cost of goods sold.</t>
        </r>
      </text>
    </comment>
    <comment ref="B10" authorId="0">
      <text>
        <r>
          <rPr>
            <sz val="10"/>
            <rFont val="Arial"/>
            <family val="2"/>
          </rPr>
          <t xml:space="preserve">Source: AstroDig operating ledger, 2018-04-15, Q1 2018, Operating expenses.</t>
        </r>
      </text>
    </comment>
    <comment ref="B11" authorId="0">
      <text>
        <r>
          <rPr>
            <sz val="10"/>
            <rFont val="Arial"/>
            <family val="2"/>
          </rPr>
          <t xml:space="preserve">Source: AstroDig operating ledger, 2018-04-15, Q1 2018, Operating result.</t>
        </r>
      </text>
    </comment>
    <comment ref="B12" authorId="0">
      <text>
        <r>
          <rPr>
            <sz val="10"/>
            <rFont val="Arial"/>
            <family val="2"/>
          </rPr>
          <t xml:space="preserve">Source: AstroDig operating ledger, 2018-04-15, Q1 2018, Period-end headcount.</t>
        </r>
      </text>
    </comment>
    <comment ref="B13" authorId="0">
      <text>
        <r>
          <rPr>
            <sz val="10"/>
            <rFont val="Arial"/>
            <family val="2"/>
          </rPr>
          <t xml:space="preserve">Source: AstroDig operating ledger, 2018-04-15, Q1 2018, Engineering services.</t>
        </r>
      </text>
    </comment>
    <comment ref="B14" authorId="0">
      <text>
        <r>
          <rPr>
            <sz val="10"/>
            <rFont val="Arial"/>
            <family val="2"/>
          </rPr>
          <t xml:space="preserve">Source: AstroDig operating ledger, 2018-04-15, Q1 2018, Instrument development.</t>
        </r>
      </text>
    </comment>
    <comment ref="B15" authorId="0">
      <text>
        <r>
          <rPr>
            <sz val="10"/>
            <rFont val="Arial"/>
            <family val="2"/>
          </rPr>
          <t xml:space="preserve">Source: AstroDig operating ledger, 2018-04-15, Q1 2018, Mission analysis.</t>
        </r>
      </text>
    </comment>
    <comment ref="B16" authorId="0">
      <text>
        <r>
          <rPr>
            <sz val="10"/>
            <rFont val="Arial"/>
            <family val="2"/>
          </rPr>
          <t xml:space="preserve">Source: AstroDig operating ledger, 2018-04-15, Q1 2018, Research and development.</t>
        </r>
      </text>
    </comment>
    <comment ref="B17" authorId="0">
      <text>
        <r>
          <rPr>
            <sz val="10"/>
            <rFont val="Arial"/>
            <family val="2"/>
          </rPr>
          <t xml:space="preserve">Source: AstroDig operating ledger, 2018-04-15, Q1 2018, Program operations.</t>
        </r>
      </text>
    </comment>
    <comment ref="B18" authorId="0">
      <text>
        <r>
          <rPr>
            <sz val="10"/>
            <rFont val="Arial"/>
            <family val="2"/>
          </rPr>
          <t xml:space="preserve">Source: AstroDig operating ledger, 2018-04-15, Q1 2018, Corporate administration.</t>
        </r>
      </text>
    </comment>
    <comment ref="B19" authorId="0">
      <text>
        <r>
          <rPr>
            <sz val="10"/>
            <rFont val="Arial"/>
            <family val="2"/>
          </rPr>
          <t xml:space="preserve">Source: AstroDig operating ledger, 2018-04-15, Q1 2018, Contracted backlog.</t>
        </r>
      </text>
    </comment>
    <comment ref="B20" authorId="0">
      <text>
        <r>
          <rPr>
            <sz val="10"/>
            <rFont val="Arial"/>
            <family val="2"/>
          </rPr>
          <t xml:space="preserve">Source: AstroDig operating ledger, 2018-04-15, Q1 2018, Completed work packages.</t>
        </r>
      </text>
    </comment>
    <comment ref="B21" authorId="0">
      <text>
        <r>
          <rPr>
            <sz val="10"/>
            <rFont val="Arial"/>
            <family val="2"/>
          </rPr>
          <t xml:space="preserve">Source: AstroDig operating ledger, 2018-04-15, Q1 2018, Accepted reference runs.</t>
        </r>
      </text>
    </comment>
    <comment ref="B22" authorId="0">
      <text>
        <r>
          <rPr>
            <sz val="10"/>
            <rFont val="Arial"/>
            <family val="2"/>
          </rPr>
          <t xml:space="preserve">Source: AstroDig operating ledger, 2018-04-15, Q1 2018, Rejected reference runs.</t>
        </r>
      </text>
    </comment>
    <comment ref="E8" authorId="0">
      <text>
        <r>
          <rPr>
            <sz val="10"/>
            <rFont val="Arial"/>
            <family val="2"/>
          </rPr>
          <t xml:space="preserve">Source: AstroDig operating ledger, Q1 2018, Recognized revenue.</t>
        </r>
      </text>
    </comment>
    <comment ref="E9" authorId="0">
      <text>
        <r>
          <rPr>
            <sz val="10"/>
            <rFont val="Arial"/>
            <family val="2"/>
          </rPr>
          <t xml:space="preserve">Source: AstroDig operating ledger, Q1 2018, Cost of goods sold.</t>
        </r>
      </text>
    </comment>
    <comment ref="E10" authorId="0">
      <text>
        <r>
          <rPr>
            <sz val="10"/>
            <rFont val="Arial"/>
            <family val="2"/>
          </rPr>
          <t xml:space="preserve">Source: AstroDig operating ledger, Q1 2018, Operating expenses.</t>
        </r>
      </text>
    </comment>
    <comment ref="E11" authorId="0">
      <text>
        <r>
          <rPr>
            <sz val="10"/>
            <rFont val="Arial"/>
            <family val="2"/>
          </rPr>
          <t xml:space="preserve">Source: AstroDig operating ledger, Q1 2018, Operating result.</t>
        </r>
      </text>
    </comment>
    <comment ref="E12" authorId="0">
      <text>
        <r>
          <rPr>
            <sz val="10"/>
            <rFont val="Arial"/>
            <family val="2"/>
          </rPr>
          <t xml:space="preserve">Source: AstroDig operating ledger, Q1 2018, Period-end headcount.</t>
        </r>
      </text>
    </comment>
    <comment ref="E13" authorId="0">
      <text>
        <r>
          <rPr>
            <sz val="10"/>
            <rFont val="Arial"/>
            <family val="2"/>
          </rPr>
          <t xml:space="preserve">Source: AstroDig operating ledger, Q1 2018, Engineering services.</t>
        </r>
      </text>
    </comment>
    <comment ref="E14" authorId="0">
      <text>
        <r>
          <rPr>
            <sz val="10"/>
            <rFont val="Arial"/>
            <family val="2"/>
          </rPr>
          <t xml:space="preserve">Source: AstroDig operating ledger, Q1 2018, Instrument development.</t>
        </r>
      </text>
    </comment>
    <comment ref="E15" authorId="0">
      <text>
        <r>
          <rPr>
            <sz val="10"/>
            <rFont val="Arial"/>
            <family val="2"/>
          </rPr>
          <t xml:space="preserve">Source: AstroDig operating ledger, Q1 2018, Mission analysis.</t>
        </r>
      </text>
    </comment>
    <comment ref="E16" authorId="0">
      <text>
        <r>
          <rPr>
            <sz val="10"/>
            <rFont val="Arial"/>
            <family val="2"/>
          </rPr>
          <t xml:space="preserve">Source: AstroDig operating ledger, Q1 2018, Research and development.</t>
        </r>
      </text>
    </comment>
    <comment ref="E17" authorId="0">
      <text>
        <r>
          <rPr>
            <sz val="10"/>
            <rFont val="Arial"/>
            <family val="2"/>
          </rPr>
          <t xml:space="preserve">Source: AstroDig operating ledger, Q1 2018, Program operations.</t>
        </r>
      </text>
    </comment>
    <comment ref="E18" authorId="0">
      <text>
        <r>
          <rPr>
            <sz val="10"/>
            <rFont val="Arial"/>
            <family val="2"/>
          </rPr>
          <t xml:space="preserve">Source: AstroDig operating ledger, Q1 2018, Corporate administration.</t>
        </r>
      </text>
    </comment>
    <comment ref="E19" authorId="0">
      <text>
        <r>
          <rPr>
            <sz val="10"/>
            <rFont val="Arial"/>
            <family val="2"/>
          </rPr>
          <t xml:space="preserve">Source: AstroDig operating ledger, Q1 2018, Contracted backlog.</t>
        </r>
      </text>
    </comment>
    <comment ref="E20" authorId="0">
      <text>
        <r>
          <rPr>
            <sz val="10"/>
            <rFont val="Arial"/>
            <family val="2"/>
          </rPr>
          <t xml:space="preserve">Source: AstroDig operating ledger, Q1 2018, Completed work packages.</t>
        </r>
      </text>
    </comment>
    <comment ref="E21" authorId="0">
      <text>
        <r>
          <rPr>
            <sz val="10"/>
            <rFont val="Arial"/>
            <family val="2"/>
          </rPr>
          <t xml:space="preserve">Source: AstroDig operating ledger, Q1 2018, Accepted reference runs.</t>
        </r>
      </text>
    </comment>
    <comment ref="E22" authorId="0">
      <text>
        <r>
          <rPr>
            <sz val="10"/>
            <rFont val="Arial"/>
            <family val="2"/>
          </rPr>
          <t xml:space="preserve">Source: AstroDig operating ledger, Q1 2018, Rejected reference runs.</t>
        </r>
      </text>
    </comment>
  </commentList>
</comments>
</file>

<file path=xl/sharedStrings.xml><?xml version="1.0" encoding="utf-8"?>
<sst xmlns="http://schemas.openxmlformats.org/spreadsheetml/2006/main" count="159" uniqueCount="81">
  <si>
    <t xml:space="preserve">AstroDig LLC - Q1 2018 Operating Results</t>
  </si>
  <si>
    <t xml:space="preserve">Published 2018-04-15 | USD unless stated | Internal</t>
  </si>
  <si>
    <t xml:space="preserve">Q1 2018; period ended 2018-03-31. Company operating ledger and campaign register. Headcount and backlog are period-end snapshots.</t>
  </si>
  <si>
    <t xml:space="preserve">Measure</t>
  </si>
  <si>
    <t xml:space="preserve">Current period</t>
  </si>
  <si>
    <t xml:space="preserve">Units</t>
  </si>
  <si>
    <t xml:space="preserve">Available-quarter measure</t>
  </si>
  <si>
    <t xml:space="preserve">Q1 2018</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</si>
  <si>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</si>
  <si>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</si>
  <si>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</si>
  <si>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</si>
  <si>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</si>
  <si>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</si>
  <si>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</si>
  <si>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</si>
  <si>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</si>
  <si>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</si>
  <si>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</si>
  <si>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</si>
  <si>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</si>
  <si>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</si>
  <si>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</si>
  <si>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</si>
  <si>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</si>
  <si>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</si>
  <si>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</si>
  <si>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</si>
  <si>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</si>
  <si>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</si>
  <si>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</si>
  <si>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</si>
  <si>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</si>
  <si>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</si>
  <si>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</si>
  <si>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</si>
  <si>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</si>
  <si>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</si>
  <si>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</si>
  <si>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</si>
  <si>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</si>
  <si>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</si>
  <si>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</si>
  <si>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</si>
  <si>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</si>
  <si>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</si>
  <si>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</si>
  <si>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</si>
  <si>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</si>
  <si>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</si>
  <si>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</si>
  <si>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</si>
  <si>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</si>
  <si>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</si>
  <si>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</si>
  <si>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</si>
  <si>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</si>
  <si>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</si>
  <si>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</si>
  <si>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</si>
  <si>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</si>
  <si>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</si>
  <si>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</si>
  <si>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</si>
  <si>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</si>
  <si>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</si>
  <si>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</si>
  <si>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Comparison availability</t>
  </si>
  <si>
    <t xml:space="preserve">Founding-quarter baseline only</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</si>
  <si>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</si>
  <si>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</si>
  <si>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</si>
  <si>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</si>
  <si>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Q1 2018; period ended 2018-03-31. Revenue $1,640,000; COGS $623,200; opex $2,066,000; operating result $-1,049,200.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</si>
  <si>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</si>
  <si>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</si>
  <si>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</si>
  <si>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</si>
  <si>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</si>
  <si>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</si>
  <si>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Make abort behavior deterministic before expanding automated sequences. Principal risk: unsafe state transitions. Hardware-in-the-loop results are not flight qualification.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</si>
</sst>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1148000</c:v>
                </c:pt>
                <c:pt idx="1">
                  <c:v>328000</c:v>
                </c:pt>
                <c:pt idx="2">
                  <c:v>164000</c:v>
                </c:pt>
              </c:numCache>
            </c:numRef>
          </c:val>
        </c:ser>
        <c:gapWidth val="150"/>
        <c:overlap val="0"/>
        <c:axId val="68140518"/>
        <c:axId val="2521189"/>
      </c:barChart>
      <c:catAx>
        <c:axId val="6814051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21189"/>
        <c:crosses val="autoZero"/>
        <c:auto val="1"/>
        <c:lblAlgn val="ctr"/>
        <c:lblOffset val="100"/>
        <c:noMultiLvlLbl val="0"/>
      </c:catAx>
      <c:valAx>
        <c:axId val="2521189"/>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8140518"/>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1487520</c:v>
                </c:pt>
                <c:pt idx="1">
                  <c:v>371880</c:v>
                </c:pt>
                <c:pt idx="2">
                  <c:v>206600</c:v>
                </c:pt>
              </c:numCache>
            </c:numRef>
          </c:val>
        </c:ser>
        <c:gapWidth val="150"/>
        <c:overlap val="0"/>
        <c:axId val="1535315"/>
        <c:axId val="51330343"/>
      </c:barChart>
      <c:catAx>
        <c:axId val="153531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1330343"/>
        <c:crosses val="autoZero"/>
        <c:auto val="1"/>
        <c:lblAlgn val="ctr"/>
        <c:lblOffset val="100"/>
        <c:noMultiLvlLbl val="0"/>
      </c:catAx>
      <c:valAx>
        <c:axId val="51330343"/>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53531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row>
    <row r="8" customFormat="false" ht="15" hidden="false" customHeight="false" outlineLevel="0" collapsed="false">
      <c r="A8" s="5" t="s">
        <v>8</v>
      </c>
      <c r="B8" s="6" t="n">
        <v>1640000</v>
      </c>
      <c r="C8" s="7" t="s">
        <v>9</v>
      </c>
      <c r="D8" s="5" t="s">
        <v>8</v>
      </c>
      <c r="E8" s="6" t="n">
        <v>1640000</v>
      </c>
    </row>
    <row r="9" customFormat="false" ht="15" hidden="false" customHeight="false" outlineLevel="0" collapsed="false">
      <c r="A9" s="5" t="s">
        <v>10</v>
      </c>
      <c r="B9" s="6" t="n">
        <v>623200</v>
      </c>
      <c r="C9" s="7" t="s">
        <v>9</v>
      </c>
      <c r="D9" s="5" t="s">
        <v>10</v>
      </c>
      <c r="E9" s="6" t="n">
        <v>623200</v>
      </c>
    </row>
    <row r="10" customFormat="false" ht="15" hidden="false" customHeight="false" outlineLevel="0" collapsed="false">
      <c r="A10" s="5" t="s">
        <v>11</v>
      </c>
      <c r="B10" s="6" t="n">
        <v>2066000</v>
      </c>
      <c r="C10" s="7" t="s">
        <v>9</v>
      </c>
      <c r="D10" s="5" t="s">
        <v>11</v>
      </c>
      <c r="E10" s="6" t="n">
        <v>2066000</v>
      </c>
    </row>
    <row r="11" customFormat="false" ht="15" hidden="false" customHeight="false" outlineLevel="0" collapsed="false">
      <c r="A11" s="5" t="s">
        <v>12</v>
      </c>
      <c r="B11" s="6" t="n">
        <v>-1049200</v>
      </c>
      <c r="C11" s="7" t="s">
        <v>9</v>
      </c>
      <c r="D11" s="5" t="s">
        <v>12</v>
      </c>
      <c r="E11" s="6" t="n">
        <v>-1049200</v>
      </c>
    </row>
    <row r="12" customFormat="false" ht="15" hidden="false" customHeight="false" outlineLevel="0" collapsed="false">
      <c r="A12" s="5" t="s">
        <v>13</v>
      </c>
      <c r="B12" s="8" t="n">
        <v>51</v>
      </c>
      <c r="C12" s="7" t="s">
        <v>14</v>
      </c>
      <c r="D12" s="5" t="s">
        <v>13</v>
      </c>
      <c r="E12" s="8" t="n">
        <v>51</v>
      </c>
    </row>
    <row r="13" customFormat="false" ht="15" hidden="false" customHeight="false" outlineLevel="0" collapsed="false">
      <c r="A13" s="5" t="s">
        <v>15</v>
      </c>
      <c r="B13" s="6" t="n">
        <v>1148000</v>
      </c>
      <c r="C13" s="7" t="s">
        <v>9</v>
      </c>
      <c r="D13" s="5" t="s">
        <v>15</v>
      </c>
      <c r="E13" s="6" t="n">
        <v>1148000</v>
      </c>
    </row>
    <row r="14" customFormat="false" ht="15" hidden="false" customHeight="false" outlineLevel="0" collapsed="false">
      <c r="A14" s="5" t="s">
        <v>16</v>
      </c>
      <c r="B14" s="6" t="n">
        <v>328000</v>
      </c>
      <c r="C14" s="7" t="s">
        <v>9</v>
      </c>
      <c r="D14" s="5" t="s">
        <v>16</v>
      </c>
      <c r="E14" s="6" t="n">
        <v>328000</v>
      </c>
    </row>
    <row r="15" customFormat="false" ht="15" hidden="false" customHeight="false" outlineLevel="0" collapsed="false">
      <c r="A15" s="5" t="s">
        <v>17</v>
      </c>
      <c r="B15" s="6" t="n">
        <v>164000</v>
      </c>
      <c r="C15" s="7" t="s">
        <v>9</v>
      </c>
      <c r="D15" s="5" t="s">
        <v>17</v>
      </c>
      <c r="E15" s="6" t="n">
        <v>164000</v>
      </c>
    </row>
    <row r="16" customFormat="false" ht="15" hidden="false" customHeight="false" outlineLevel="0" collapsed="false">
      <c r="A16" s="5" t="s">
        <v>18</v>
      </c>
      <c r="B16" s="6" t="n">
        <v>1487520</v>
      </c>
      <c r="C16" s="7" t="s">
        <v>9</v>
      </c>
      <c r="D16" s="5" t="s">
        <v>18</v>
      </c>
      <c r="E16" s="6" t="n">
        <v>1487520</v>
      </c>
    </row>
    <row r="17" customFormat="false" ht="15" hidden="false" customHeight="false" outlineLevel="0" collapsed="false">
      <c r="A17" s="5" t="s">
        <v>19</v>
      </c>
      <c r="B17" s="6" t="n">
        <v>371880</v>
      </c>
      <c r="C17" s="7" t="s">
        <v>9</v>
      </c>
      <c r="D17" s="5" t="s">
        <v>19</v>
      </c>
      <c r="E17" s="6" t="n">
        <v>371880</v>
      </c>
    </row>
    <row r="18" customFormat="false" ht="15" hidden="false" customHeight="false" outlineLevel="0" collapsed="false">
      <c r="A18" s="5" t="s">
        <v>20</v>
      </c>
      <c r="B18" s="6" t="n">
        <v>206600</v>
      </c>
      <c r="C18" s="7" t="s">
        <v>9</v>
      </c>
      <c r="D18" s="5" t="s">
        <v>20</v>
      </c>
      <c r="E18" s="6" t="n">
        <v>206600</v>
      </c>
    </row>
    <row r="19" customFormat="false" ht="15" hidden="false" customHeight="false" outlineLevel="0" collapsed="false">
      <c r="A19" s="5" t="s">
        <v>21</v>
      </c>
      <c r="B19" s="6" t="n">
        <v>9840000</v>
      </c>
      <c r="C19" s="7" t="s">
        <v>9</v>
      </c>
      <c r="D19" s="5" t="s">
        <v>21</v>
      </c>
      <c r="E19" s="6" t="n">
        <v>9840000</v>
      </c>
    </row>
    <row r="20" customFormat="false" ht="15" hidden="false" customHeight="false" outlineLevel="0" collapsed="false">
      <c r="A20" s="5" t="s">
        <v>22</v>
      </c>
      <c r="B20" s="8" t="n">
        <v>22</v>
      </c>
      <c r="C20" s="7" t="s">
        <v>14</v>
      </c>
      <c r="D20" s="5" t="s">
        <v>22</v>
      </c>
      <c r="E20" s="8" t="n">
        <v>22</v>
      </c>
    </row>
    <row r="21" customFormat="false" ht="15" hidden="false" customHeight="false" outlineLevel="0" collapsed="false">
      <c r="A21" s="5" t="s">
        <v>23</v>
      </c>
      <c r="B21" s="8" t="n">
        <v>50</v>
      </c>
      <c r="C21" s="7" t="s">
        <v>14</v>
      </c>
      <c r="D21" s="5" t="s">
        <v>23</v>
      </c>
      <c r="E21" s="8" t="n">
        <v>50</v>
      </c>
    </row>
    <row r="22" customFormat="false" ht="15" hidden="false" customHeight="false" outlineLevel="0" collapsed="false">
      <c r="A22" s="5" t="s">
        <v>24</v>
      </c>
      <c r="B22" s="8" t="n">
        <v>3</v>
      </c>
      <c r="C22" s="7" t="s">
        <v>14</v>
      </c>
      <c r="D22" s="5" t="s">
        <v>24</v>
      </c>
      <c r="E22" s="8" t="n">
        <v>3</v>
      </c>
    </row>
    <row r="25" customFormat="false" ht="39.75" hidden="false" customHeight="true" outlineLevel="0" collapsed="false">
      <c r="A25" s="3" t="s">
        <v>25</v>
      </c>
      <c r="B25" s="3"/>
      <c r="C25" s="3"/>
      <c r="D25" s="3"/>
      <c r="E25" s="3"/>
      <c r="F25" s="3"/>
      <c r="G25" s="3"/>
      <c r="H25" s="3"/>
    </row>
    <row r="28" customFormat="false" ht="39.75" hidden="false" customHeight="true" outlineLevel="0" collapsed="false">
      <c r="A28" s="3" t="s">
        <v>26</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28</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8</v>
      </c>
      <c r="B8" s="9" t="n">
        <f aca="false">'Source actuals'!B8</f>
        <v>1640000</v>
      </c>
    </row>
    <row r="9" customFormat="false" ht="15" hidden="false" customHeight="false" outlineLevel="0" collapsed="false">
      <c r="A9" s="5" t="s">
        <v>10</v>
      </c>
      <c r="B9" s="9" t="n">
        <f aca="false">'Source actuals'!B9</f>
        <v>623200</v>
      </c>
    </row>
    <row r="10" customFormat="false" ht="15" hidden="false" customHeight="false" outlineLevel="0" collapsed="false">
      <c r="A10" s="5" t="s">
        <v>11</v>
      </c>
      <c r="B10" s="9" t="n">
        <f aca="false">'Source actuals'!B10</f>
        <v>2066000</v>
      </c>
    </row>
    <row r="11" customFormat="false" ht="15" hidden="false" customHeight="false" outlineLevel="0" collapsed="false">
      <c r="A11" s="5" t="s">
        <v>31</v>
      </c>
      <c r="B11" s="10" t="n">
        <f aca="false">B8-B9-B10</f>
        <v>-1049200</v>
      </c>
    </row>
    <row r="12" customFormat="false" ht="15" hidden="false" customHeight="false" outlineLevel="0" collapsed="false">
      <c r="A12" s="5" t="s">
        <v>32</v>
      </c>
      <c r="B12" s="9" t="n">
        <f aca="false">'Source actuals'!B11</f>
        <v>-1049200</v>
      </c>
    </row>
    <row r="14" customFormat="false" ht="15" hidden="false" customHeight="false" outlineLevel="0" collapsed="false">
      <c r="A14" s="5" t="s">
        <v>33</v>
      </c>
      <c r="B14" s="10" t="n">
        <f aca="false">B11-B12</f>
        <v>0</v>
      </c>
      <c r="C14" s="5" t="str">
        <f aca="false">IF(B14=0,"RECONCILED","REVIEW")</f>
        <v>RECONCILED</v>
      </c>
    </row>
    <row r="26" customFormat="false" ht="60" hidden="false" customHeight="true" outlineLevel="0" collapsed="false">
      <c r="A26" s="3" t="s">
        <v>34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38</v>
      </c>
      <c r="B8" s="9" t="n">
        <f aca="false">'Source actuals'!B8</f>
        <v>1640000</v>
      </c>
    </row>
    <row r="9" customFormat="false" ht="15" hidden="false" customHeight="false" outlineLevel="0" collapsed="false">
      <c r="A9" s="5" t="s">
        <v>39</v>
      </c>
      <c r="B9" s="9" t="n">
        <f aca="false">'Source actuals'!B8-'Source actuals'!B9</f>
        <v>1016800</v>
      </c>
    </row>
    <row r="10" customFormat="false" ht="15" hidden="false" customHeight="false" outlineLevel="0" collapsed="false">
      <c r="A10" s="5" t="s">
        <v>40</v>
      </c>
      <c r="B10" s="11" t="n">
        <f aca="false">IF(B8=0,0,B9/B8)</f>
        <v>0.62</v>
      </c>
    </row>
    <row r="11" customFormat="false" ht="15" hidden="false" customHeight="false" outlineLevel="0" collapsed="false">
      <c r="A11" s="5" t="s">
        <v>41</v>
      </c>
      <c r="B11" s="12" t="n">
        <f aca="false">IF(B8=0,0,'Source actuals'!B11/B8)</f>
        <v>-0.639756097560976</v>
      </c>
    </row>
    <row r="12" customFormat="false" ht="15" hidden="false" customHeight="false" outlineLevel="0" collapsed="false">
      <c r="A12" s="5" t="s">
        <v>42</v>
      </c>
      <c r="B12" s="12" t="n">
        <f aca="false">IF(B8=0,0,'Source actuals'!B10/B8)</f>
        <v>1.25975609756098</v>
      </c>
    </row>
    <row r="13" customFormat="false" ht="15" hidden="false" customHeight="false" outlineLevel="0" collapsed="false">
      <c r="A13" s="5" t="s">
        <v>43</v>
      </c>
      <c r="B13" s="12" t="n">
        <f aca="false">IF(B8=0,0,'Source actuals'!B9/B8)</f>
        <v>0.38</v>
      </c>
    </row>
    <row r="15" customFormat="false" ht="15" hidden="false" customHeight="false" outlineLevel="0" collapsed="false">
      <c r="A15" s="5" t="s">
        <v>44</v>
      </c>
      <c r="B15" s="11" t="n">
        <f aca="false">B10+B13-1</f>
        <v>0</v>
      </c>
      <c r="C15" s="5" t="str">
        <f aca="false">IF(ABS(B15)&lt;0.000001,"RECONCILED","REVIEW")</f>
        <v>RECONCILED</v>
      </c>
    </row>
    <row r="26" customFormat="false" ht="60" hidden="false" customHeight="true" outlineLevel="0" collapsed="false">
      <c r="A26" s="3" t="s">
        <v>45</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15</v>
      </c>
      <c r="B8" s="9" t="n">
        <f aca="false">'Source actuals'!B13</f>
        <v>1148000</v>
      </c>
      <c r="C8" s="11" t="n">
        <f aca="false">IF(B11=0,0,B8/B11)</f>
        <v>0.7</v>
      </c>
    </row>
    <row r="9" customFormat="false" ht="15" hidden="false" customHeight="false" outlineLevel="0" collapsed="false">
      <c r="A9" s="5" t="s">
        <v>16</v>
      </c>
      <c r="B9" s="9" t="n">
        <f aca="false">'Source actuals'!B14</f>
        <v>328000</v>
      </c>
      <c r="C9" s="11" t="n">
        <f aca="false">IF(B11=0,0,B9/B11)</f>
        <v>0.2</v>
      </c>
    </row>
    <row r="10" customFormat="false" ht="15" hidden="false" customHeight="false" outlineLevel="0" collapsed="false">
      <c r="A10" s="5" t="s">
        <v>17</v>
      </c>
      <c r="B10" s="9" t="n">
        <f aca="false">'Source actuals'!B15</f>
        <v>164000</v>
      </c>
      <c r="C10" s="11" t="n">
        <f aca="false">IF(B11=0,0,B10/B11)</f>
        <v>0.1</v>
      </c>
    </row>
    <row r="11" customFormat="false" ht="15" hidden="false" customHeight="false" outlineLevel="0" collapsed="false">
      <c r="A11" s="5" t="s">
        <v>48</v>
      </c>
      <c r="B11" s="10" t="n">
        <f aca="false">SUM(B8:B10)</f>
        <v>1640000</v>
      </c>
      <c r="C11" s="11" t="n">
        <f aca="false">SUM(C8:C10)</f>
        <v>1</v>
      </c>
    </row>
    <row r="12" customFormat="false" ht="15" hidden="false" customHeight="false" outlineLevel="0" collapsed="false">
      <c r="A12" s="5" t="s">
        <v>49</v>
      </c>
      <c r="B12" s="9" t="n">
        <f aca="false">'Source actuals'!B8</f>
        <v>1640000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18</v>
      </c>
      <c r="B8" s="9" t="n">
        <f aca="false">'Source actuals'!B16</f>
        <v>1487520</v>
      </c>
      <c r="C8" s="11" t="n">
        <f aca="false">IF(B11=0,0,B8/B11)</f>
        <v>0.72</v>
      </c>
    </row>
    <row r="9" customFormat="false" ht="15" hidden="false" customHeight="false" outlineLevel="0" collapsed="false">
      <c r="A9" s="5" t="s">
        <v>19</v>
      </c>
      <c r="B9" s="9" t="n">
        <f aca="false">'Source actuals'!B17</f>
        <v>371880</v>
      </c>
      <c r="C9" s="11" t="n">
        <f aca="false">IF(B11=0,0,B9/B11)</f>
        <v>0.18</v>
      </c>
    </row>
    <row r="10" customFormat="false" ht="15" hidden="false" customHeight="false" outlineLevel="0" collapsed="false">
      <c r="A10" s="5" t="s">
        <v>20</v>
      </c>
      <c r="B10" s="9" t="n">
        <f aca="false">'Source actuals'!B18</f>
        <v>206600</v>
      </c>
      <c r="C10" s="11" t="n">
        <f aca="false">IF(B11=0,0,B10/B11)</f>
        <v>0.1</v>
      </c>
    </row>
    <row r="11" customFormat="false" ht="15" hidden="false" customHeight="false" outlineLevel="0" collapsed="false">
      <c r="A11" s="5" t="s">
        <v>48</v>
      </c>
      <c r="B11" s="10" t="n">
        <f aca="false">SUM(B8:B10)</f>
        <v>2066000</v>
      </c>
      <c r="C11" s="11" t="n">
        <f aca="false">SUM(C8:C10)</f>
        <v>1</v>
      </c>
    </row>
    <row r="12" customFormat="false" ht="15" hidden="false" customHeight="false" outlineLevel="0" collapsed="false">
      <c r="A12" s="5" t="s">
        <v>49</v>
      </c>
      <c r="B12" s="9" t="n">
        <f aca="false">'Source actuals'!B10</f>
        <v>2066000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56</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13</v>
      </c>
      <c r="B8" s="13" t="n">
        <f aca="false">'Source actuals'!B12</f>
        <v>51</v>
      </c>
    </row>
    <row r="9" customFormat="false" ht="15" hidden="false" customHeight="false" outlineLevel="0" collapsed="false">
      <c r="A9" s="5" t="s">
        <v>57</v>
      </c>
      <c r="B9" s="9" t="n">
        <f aca="false">'Source actuals'!B8/B8</f>
        <v>32156.862745098</v>
      </c>
    </row>
    <row r="10" customFormat="false" ht="15" hidden="false" customHeight="false" outlineLevel="0" collapsed="false">
      <c r="A10" s="5" t="s">
        <v>22</v>
      </c>
      <c r="B10" s="13" t="n">
        <f aca="false">'Source actuals'!B20</f>
        <v>22</v>
      </c>
    </row>
    <row r="11" customFormat="false" ht="15" hidden="false" customHeight="false" outlineLevel="0" collapsed="false">
      <c r="A11" s="5" t="s">
        <v>58</v>
      </c>
      <c r="B11" s="14" t="n">
        <f aca="false">B10/B8</f>
        <v>0.431372549019608</v>
      </c>
    </row>
    <row r="12" customFormat="false" ht="15" hidden="false" customHeight="false" outlineLevel="0" collapsed="false">
      <c r="A12" s="5" t="s">
        <v>23</v>
      </c>
      <c r="B12" s="13" t="n">
        <f aca="false">'Source actuals'!B21</f>
        <v>50</v>
      </c>
    </row>
    <row r="13" customFormat="false" ht="15" hidden="false" customHeight="false" outlineLevel="0" collapsed="false">
      <c r="A13" s="5" t="s">
        <v>24</v>
      </c>
      <c r="B13" s="13" t="n">
        <f aca="false">'Source actuals'!B22</f>
        <v>3</v>
      </c>
    </row>
    <row r="14" customFormat="false" ht="15" hidden="false" customHeight="false" outlineLevel="0" collapsed="false">
      <c r="A14" s="5" t="s">
        <v>59</v>
      </c>
      <c r="B14" s="15" t="n">
        <f aca="false">SUM(B12:B13)</f>
        <v>53</v>
      </c>
    </row>
    <row r="15" customFormat="false" ht="15" hidden="false" customHeight="false" outlineLevel="0" collapsed="false">
      <c r="A15" s="5" t="s">
        <v>60</v>
      </c>
      <c r="B15" s="11" t="n">
        <f aca="false">IF(B14=0,0,B12/B14)</f>
        <v>0.943396226415094</v>
      </c>
    </row>
    <row r="17" customFormat="false" ht="15" hidden="false" customHeight="false" outlineLevel="0" collapsed="false">
      <c r="A17" s="5" t="s">
        <v>61</v>
      </c>
      <c r="B17" s="15" t="n">
        <f aca="false">B14-B12-B13</f>
        <v>0</v>
      </c>
      <c r="C17" s="5" t="str">
        <f aca="false">IF(B17=0,"RECONCILED","REVIEW")</f>
        <v>RECONCILED</v>
      </c>
    </row>
    <row r="26" customFormat="false" ht="60" hidden="false" customHeight="true" outlineLevel="0" collapsed="false">
      <c r="A26" s="3" t="s">
        <v>62</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64</v>
      </c>
      <c r="B5" s="3"/>
      <c r="C5" s="3"/>
      <c r="D5" s="3"/>
      <c r="E5" s="3"/>
      <c r="F5" s="3"/>
      <c r="G5" s="3"/>
      <c r="H5" s="3"/>
    </row>
    <row r="7" customFormat="false" ht="22.5" hidden="false" customHeight="true" outlineLevel="0" collapsed="false">
      <c r="A7" s="4" t="s">
        <v>3</v>
      </c>
      <c r="B7" s="4" t="s">
        <v>7</v>
      </c>
      <c r="C7" s="4" t="s">
        <v>30</v>
      </c>
    </row>
    <row r="8" customFormat="false" ht="15" hidden="false" customHeight="false" outlineLevel="0" collapsed="false">
      <c r="A8" s="5" t="s">
        <v>8</v>
      </c>
      <c r="B8" s="9" t="n">
        <f aca="false">'Source actuals'!E8</f>
        <v>1640000</v>
      </c>
    </row>
    <row r="9" customFormat="false" ht="15" hidden="false" customHeight="false" outlineLevel="0" collapsed="false">
      <c r="A9" s="5" t="s">
        <v>10</v>
      </c>
      <c r="B9" s="9" t="n">
        <f aca="false">'Source actuals'!E9</f>
        <v>623200</v>
      </c>
    </row>
    <row r="10" customFormat="false" ht="15" hidden="false" customHeight="false" outlineLevel="0" collapsed="false">
      <c r="A10" s="5" t="s">
        <v>11</v>
      </c>
      <c r="B10" s="9" t="n">
        <f aca="false">'Source actuals'!E10</f>
        <v>2066000</v>
      </c>
    </row>
    <row r="11" customFormat="false" ht="15" hidden="false" customHeight="false" outlineLevel="0" collapsed="false">
      <c r="A11" s="5" t="s">
        <v>12</v>
      </c>
      <c r="B11" s="9" t="n">
        <f aca="false">'Source actuals'!E11</f>
        <v>-1049200</v>
      </c>
    </row>
    <row r="12" customFormat="false" ht="15" hidden="false" customHeight="false" outlineLevel="0" collapsed="false">
      <c r="A12" s="5" t="s">
        <v>21</v>
      </c>
      <c r="B12" s="9" t="n">
        <f aca="false">'Source actuals'!E19</f>
        <v>9840000</v>
      </c>
    </row>
    <row r="13" customFormat="false" ht="15" hidden="false" customHeight="false" outlineLevel="0" collapsed="false">
      <c r="A13" s="5" t="s">
        <v>13</v>
      </c>
      <c r="B13" s="13" t="n">
        <f aca="false">'Source actuals'!E12</f>
        <v>51</v>
      </c>
    </row>
    <row r="15" customFormat="false" ht="15" hidden="false" customHeight="false" outlineLevel="0" collapsed="false">
      <c r="A15" s="5" t="s">
        <v>65</v>
      </c>
      <c r="B15" s="10" t="n">
        <f aca="false">B8-B9-B10-B11</f>
        <v>0</v>
      </c>
    </row>
    <row r="16" customFormat="false" ht="15" hidden="false" customHeight="false" outlineLevel="0" collapsed="false">
      <c r="B16" s="5" t="str">
        <f aca="false">IF(B15=0,"RECONCILED","REVIEW")</f>
        <v>RECONCILED</v>
      </c>
    </row>
    <row r="18" customFormat="false" ht="15" hidden="false" customHeight="false" outlineLevel="0" collapsed="false">
      <c r="A18" s="5" t="s">
        <v>66</v>
      </c>
      <c r="B18" s="10" t="n">
        <f aca="false">SUM(B8)</f>
        <v>1640000</v>
      </c>
    </row>
    <row r="19" customFormat="false" ht="15" hidden="false" customHeight="false" outlineLevel="0" collapsed="false">
      <c r="A19" s="5" t="s">
        <v>67</v>
      </c>
      <c r="B19" s="5" t="s">
        <v>68</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2026-10-08T21:36:35Z</dcterms:created>
  <dc:creator>AstroDig LLC</dc:creator>
  <dc:description/>
  <dc:language>en-US</dc:language>
  <cp:lastModifiedBy/>
  <dcterms:modified xsi:type="dcterms:W3CDTF">2026-10-08T21:36:35Z</dcterms:modified>
  <cp:revision>0</cp:revision>
  <dc:subject>USD operating performance</dc:subject>
  <dc:title>AstroDig LLC - Q1 2018 Operating Results</dc:title>
</cp:coreProperties>
</file>

<file path=docProps/custom.xml><?xml version="1.0" encoding="utf-8"?>
<Properties xmlns="http://schemas.openxmlformats.org/officeDocument/2006/custom-properties" xmlns:vt="http://schemas.openxmlformats.org/officeDocument/2006/docPropsVTypes"/>
</file>