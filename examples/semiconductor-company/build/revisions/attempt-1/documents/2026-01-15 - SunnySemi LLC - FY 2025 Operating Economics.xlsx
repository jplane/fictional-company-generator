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a80a3a2f74364" /><Relationship Type="http://schemas.openxmlformats.org/package/2006/relationships/metadata/core-properties" Target="/docProps/core.xml" Id="Ra62fc44fe683423a" /><Relationship Type="http://schemas.openxmlformats.org/officeDocument/2006/relationships/extended-properties" Target="/docProps/app.xml" Id="R0f438730ef054bf6" /><Relationship Type="http://schemas.openxmlformats.org/officeDocument/2006/relationships/custom-properties" Target="/docProps/custom.xml" Id="R560079a8cd764e1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330f532052a04b02"/>
    <x:sheet name="Summary" sheetId="3" r:id="R404858bdf4114d32"/>
    <x:sheet name="Notes" sheetId="4" r:id="R19e6e61d184e4817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0909d84b31644ad2" /><Relationship Type="http://schemas.openxmlformats.org/officeDocument/2006/relationships/styles" Target="/xl/styles.xml" Id="R73ea915f1d784cae" /><Relationship Type="http://schemas.openxmlformats.org/officeDocument/2006/relationships/worksheet" Target="/xl/worksheets/sheet2.xml" Id="R330f532052a04b02" /><Relationship Type="http://schemas.openxmlformats.org/officeDocument/2006/relationships/worksheet" Target="/xl/worksheets/sheet3.xml" Id="R404858bdf4114d32" /><Relationship Type="http://schemas.openxmlformats.org/officeDocument/2006/relationships/worksheet" Target="/xl/worksheets/sheet4.xml" Id="R19e6e61d184e48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FY 2025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2025</x:v>
      </x:c>
      <x:c r="C4" s="1" t="str">
        <x:v>Q2 2025</x:v>
      </x:c>
      <x:c r="D4" s="1" t="str">
        <x:v>Q3 2025</x:v>
      </x:c>
      <x:c r="E4" s="1" t="str">
        <x:v>Q4 2025</x:v>
      </x:c>
    </x:row>
    <x:row r="5" ht="27" customHeight="1">
      <x:c r="A5" s="2" t="str">
        <x:v>Recognized revenue</x:v>
      </x:c>
      <x:c r="B5" s="3">
        <x:v>4600000000</x:v>
      </x:c>
      <x:c r="C5" s="3">
        <x:v>5290000000</x:v>
      </x:c>
      <x:c r="D5" s="3">
        <x:v>5980000000</x:v>
      </x:c>
      <x:c r="E5" s="3">
        <x:v>7130000000</x:v>
      </x:c>
    </x:row>
    <x:row r="6" ht="27" customHeight="1">
      <x:c r="A6" s="2" t="str">
        <x:v>Cost of goods sold</x:v>
      </x:c>
      <x:c r="B6" s="3">
        <x:v>1656000000</x:v>
      </x:c>
      <x:c r="C6" s="3">
        <x:v>1904400000</x:v>
      </x:c>
      <x:c r="D6" s="3">
        <x:v>2152800000</x:v>
      </x:c>
      <x:c r="E6" s="3">
        <x:v>2566800000</x:v>
      </x:c>
    </x:row>
    <x:row r="7" ht="27" customHeight="1">
      <x:c r="A7" s="2" t="str">
        <x:v>Operating expense</x:v>
      </x:c>
      <x:c r="B7" s="3">
        <x:v>1058000000</x:v>
      </x:c>
      <x:c r="C7" s="3">
        <x:v>1216700000</x:v>
      </x:c>
      <x:c r="D7" s="3">
        <x:v>1375400000</x:v>
      </x:c>
      <x:c r="E7" s="3">
        <x:v>1639900000</x:v>
      </x:c>
    </x:row>
    <x:row r="8" ht="27" customHeight="1">
      <x:c r="A8" s="2" t="str">
        <x:v>Operating income</x:v>
      </x:c>
      <x:c r="B8" s="3">
        <x:v>1886000000</x:v>
      </x:c>
      <x:c r="C8" s="3">
        <x:v>2168900000</x:v>
      </x:c>
      <x:c r="D8" s="3">
        <x:v>2451800000</x:v>
      </x:c>
      <x:c r="E8" s="3">
        <x:v>2923300000</x:v>
      </x:c>
    </x:row>
    <x:row r="9" ht="27" customHeight="1">
      <x:c r="A9" s="2" t="str">
        <x:v>SunCore revenue</x:v>
      </x:c>
      <x:c r="B9" s="3">
        <x:v>3220000000</x:v>
      </x:c>
      <x:c r="C9" s="3">
        <x:v>3703000000</x:v>
      </x:c>
      <x:c r="D9" s="3">
        <x:v>4186000000</x:v>
      </x:c>
      <x:c r="E9" s="3">
        <x:v>4991000000</x:v>
      </x:c>
    </x:row>
    <x:row r="10" ht="27" customHeight="1">
      <x:c r="A10" s="2" t="str">
        <x:v>GulfSwitch revenue</x:v>
      </x:c>
      <x:c r="B10" s="3">
        <x:v>1380000000</x:v>
      </x:c>
      <x:c r="C10" s="3">
        <x:v>1587000000</x:v>
      </x:c>
      <x:c r="D10" s="3">
        <x:v>1794000000</x:v>
      </x:c>
      <x:c r="E10" s="3">
        <x:v>2139000000</x:v>
      </x:c>
    </x:row>
    <x:row r="11" ht="27" customHeight="1">
      <x:c r="A11" s="2" t="str">
        <x:v>Wafer cost</x:v>
      </x:c>
      <x:c r="B11" s="3">
        <x:v>1076400000</x:v>
      </x:c>
      <x:c r="C11" s="3">
        <x:v>1237860000</x:v>
      </x:c>
      <x:c r="D11" s="3">
        <x:v>1399320000</x:v>
      </x:c>
      <x:c r="E11" s="3">
        <x:v>1668420000</x:v>
      </x:c>
    </x:row>
    <x:row r="12" ht="27" customHeight="1">
      <x:c r="A12" s="2" t="str">
        <x:v>Package and test cost</x:v>
      </x:c>
      <x:c r="B12" s="3">
        <x:v>414000000</x:v>
      </x:c>
      <x:c r="C12" s="3">
        <x:v>476100000</x:v>
      </x:c>
      <x:c r="D12" s="3">
        <x:v>538200000</x:v>
      </x:c>
      <x:c r="E12" s="3">
        <x:v>641700000</x:v>
      </x:c>
    </x:row>
    <x:row r="13" ht="27" customHeight="1">
      <x:c r="A13" s="2" t="str">
        <x:v>Logistics cost</x:v>
      </x:c>
      <x:c r="B13" s="3">
        <x:v>165600000</x:v>
      </x:c>
      <x:c r="C13" s="3">
        <x:v>190440000</x:v>
      </x:c>
      <x:c r="D13" s="3">
        <x:v>215280000</x:v>
      </x:c>
      <x:c r="E13" s="3">
        <x:v>256680000</x:v>
      </x:c>
    </x:row>
    <x:row r="14" ht="27" customHeight="1">
      <x:c r="A14" s="2" t="str">
        <x:v>Engineering opex</x:v>
      </x:c>
      <x:c r="B14" s="3">
        <x:v>740600000</x:v>
      </x:c>
      <x:c r="C14" s="3">
        <x:v>851690000</x:v>
      </x:c>
      <x:c r="D14" s="3">
        <x:v>962780000</x:v>
      </x:c>
      <x:c r="E14" s="3">
        <x:v>1147930000</x:v>
      </x:c>
    </x:row>
    <x:row r="15" ht="27" customHeight="1">
      <x:c r="A15" s="2" t="str">
        <x:v>Commercial/admin opex</x:v>
      </x:c>
      <x:c r="B15" s="3">
        <x:v>317400000</x:v>
      </x:c>
      <x:c r="C15" s="3">
        <x:v>365010000</x:v>
      </x:c>
      <x:c r="D15" s="3">
        <x:v>412620000</x:v>
      </x:c>
      <x:c r="E15" s="3">
        <x:v>491970000</x:v>
      </x:c>
    </x:row>
    <x:row r="16" ht="27" customHeight="1">
      <x:c r="A16" s="2" t="str">
        <x:v>Ending headcount</x:v>
      </x:c>
      <x:c r="B16" s="3">
        <x:v>4990</x:v>
      </x:c>
      <x:c r="C16" s="3">
        <x:v>5060</x:v>
      </x:c>
      <x:c r="D16" s="3">
        <x:v>5130</x:v>
      </x:c>
      <x:c r="E16" s="3">
        <x:v>5200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2025</x:v>
      </x:c>
      <x:c r="C3" s="1" t="str">
        <x:v>Q2 2025</x:v>
      </x:c>
      <x:c r="D3" s="1" t="str">
        <x:v>Q3 2025</x:v>
      </x:c>
      <x:c r="E3" s="1" t="str">
        <x:v>Q4 2025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2944000000</x:v>
      </x:c>
      <x:c r="C5" s="4">
        <x:f>Inputs!C5-Inputs!C6</x:f>
        <x:v>3385600000</x:v>
      </x:c>
      <x:c r="D5" s="4">
        <x:f>Inputs!D5-Inputs!D6</x:f>
        <x:v>3827200000</x:v>
      </x:c>
      <x:c r="E5" s="4">
        <x:f>Inputs!E5-Inputs!E6</x:f>
        <x:v>4563200000</x:v>
      </x:c>
    </x:row>
    <x:row r="6" ht="27" customHeight="1">
      <x:c r="A6" s="2" t="str">
        <x:v>Calculated operating income</x:v>
      </x:c>
      <x:c r="B6" s="4">
        <x:f>B5-Inputs!B7</x:f>
        <x:v>1886000000</x:v>
      </x:c>
      <x:c r="C6" s="4">
        <x:f>C5-Inputs!C7</x:f>
        <x:v>2168900000</x:v>
      </x:c>
      <x:c r="D6" s="4">
        <x:f>D5-Inputs!D7</x:f>
        <x:v>2451800000</x:v>
      </x:c>
      <x:c r="E6" s="4">
        <x:f>E5-Inputs!E7</x:f>
        <x:v>2923300000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  <x:c r="D7" s="4">
        <x:f>D6-Inputs!D8</x:f>
        <x:v>0</x:v>
      </x:c>
      <x:c r="E7" s="4">
        <x:f>E6-Inputs!E8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0.64</x:v>
      </x:c>
      <x:c r="C9" s="4">
        <x:f>C5/Inputs!C5</x:f>
        <x:v>0.64</x:v>
      </x:c>
      <x:c r="D9" s="4">
        <x:f>D5/Inputs!D5</x:f>
        <x:v>0.64</x:v>
      </x:c>
      <x:c r="E9" s="4">
        <x:f>E5/Inputs!E5</x:f>
        <x:v>0.64</x:v>
      </x:c>
    </x:row>
    <x:row r="10" ht="27" customHeight="1">
      <x:c r="A10" s="2" t="str">
        <x:v>Operating margin (ratio)</x:v>
      </x:c>
      <x:c r="B10" s="4">
        <x:f>B6/Inputs!B5</x:f>
        <x:v>0.41</x:v>
      </x:c>
      <x:c r="C10" s="4">
        <x:f>C6/Inputs!C5</x:f>
        <x:v>0.41</x:v>
      </x:c>
      <x:c r="D10" s="4">
        <x:f>D6/Inputs!D5</x:f>
        <x:v>0.41</x:v>
      </x:c>
      <x:c r="E10" s="4">
        <x:f>E6/Inputs!E5</x:f>
        <x:v>0.41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4600000000</x:v>
      </x:c>
      <x:c r="C12" s="4">
        <x:f>Inputs!C9+Inputs!C10</x:f>
        <x:v>5290000000</x:v>
      </x:c>
      <x:c r="D12" s="4">
        <x:f>Inputs!D9+Inputs!D10</x:f>
        <x:v>5980000000</x:v>
      </x:c>
      <x:c r="E12" s="4">
        <x:f>Inputs!E9+Inputs!E10</x:f>
        <x:v>7130000000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  <x:c r="D13" s="4">
        <x:f>D12-Inputs!D5</x:f>
        <x:v>0</x:v>
      </x:c>
      <x:c r="E13" s="4">
        <x:f>E12-Inputs!E5</x:f>
        <x:v>0</x:v>
      </x:c>
    </x:row>
    <x:row r="14" ht="27" customHeight="1">
      <x:c r="A14" s="2" t="str">
        <x:v>SunCore share (ratio)</x:v>
      </x:c>
      <x:c r="B14" s="4">
        <x:f>Inputs!B9/Inputs!B5</x:f>
        <x:v>0.7</x:v>
      </x:c>
      <x:c r="C14" s="4">
        <x:f>Inputs!C9/Inputs!C5</x:f>
        <x:v>0.7</x:v>
      </x:c>
      <x:c r="D14" s="4">
        <x:f>Inputs!D9/Inputs!D5</x:f>
        <x:v>0.7</x:v>
      </x:c>
      <x:c r="E14" s="4">
        <x:f>Inputs!E9/Inputs!E5</x:f>
        <x:v>0.7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1656000000</x:v>
      </x:c>
      <x:c r="C16" s="4">
        <x:f>Inputs!C11+Inputs!C12+Inputs!C13</x:f>
        <x:v>1904400000</x:v>
      </x:c>
      <x:c r="D16" s="4">
        <x:f>Inputs!D11+Inputs!D12+Inputs!D13</x:f>
        <x:v>2152800000</x:v>
      </x:c>
      <x:c r="E16" s="4">
        <x:f>Inputs!E11+Inputs!E12+Inputs!E13</x:f>
        <x:v>2566800000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  <x:c r="D17" s="4">
        <x:f>D16-Inputs!D6</x:f>
        <x:v>0</x:v>
      </x:c>
      <x:c r="E17" s="4">
        <x:f>E16-Inputs!E6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  <x:c r="D18" s="4">
        <x:f>Inputs!D11/Inputs!D6</x:f>
        <x:v>0.65</x:v>
      </x:c>
      <x:c r="E18" s="4">
        <x:f>Inputs!E11/Inputs!E6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1058000000</x:v>
      </x:c>
      <x:c r="C20" s="4">
        <x:f>Inputs!C14+Inputs!C15</x:f>
        <x:v>1216700000</x:v>
      </x:c>
      <x:c r="D20" s="4">
        <x:f>Inputs!D14+Inputs!D15</x:f>
        <x:v>1375400000</x:v>
      </x:c>
      <x:c r="E20" s="4">
        <x:f>Inputs!E14+Inputs!E15</x:f>
        <x:v>1639900000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  <x:c r="D21" s="4">
        <x:f>D20-Inputs!D7</x:f>
        <x:v>0</x:v>
      </x:c>
      <x:c r="E21" s="4">
        <x:f>E20-Inputs!E7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  <x:c r="D22" s="4">
        <x:f>Inputs!D14/Inputs!D7</x:f>
        <x:v>0.7</x:v>
      </x:c>
      <x:c r="E22" s="4">
        <x:f>Inputs!E14/Inputs!E7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690000000</x:v>
      </x:c>
      <x:c r="D24" s="4">
        <x:f>Inputs!D5-Inputs!C5</x:f>
        <x:v>690000000</x:v>
      </x:c>
      <x:c r="E24" s="4">
        <x:f>Inputs!E5-Inputs!D5</x:f>
        <x:v>1150000000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282900000</x:v>
      </x:c>
      <x:c r="D25" s="4">
        <x:f>Inputs!D8-Inputs!C8</x:f>
        <x:v>282900000</x:v>
      </x:c>
      <x:c r="E25" s="4">
        <x:f>Inputs!E8-Inputs!D8</x:f>
        <x:v>471500000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70</x:v>
      </x:c>
      <x:c r="D26" s="4">
        <x:f>Inputs!D16-Inputs!C16</x:f>
        <x:v>70</x:v>
      </x:c>
      <x:c r="E26" s="4">
        <x:f>Inputs!E16-Inputs!D16</x:f>
        <x:v>70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Inputs!B5+Inputs!C5+Inputs!D5+Inputs!E5</x:f>
        <x:v>23000000000</x:v>
      </x:c>
    </x:row>
    <x:row r="5" ht="27" customHeight="1">
      <x:c r="A5" s="2" t="str">
        <x:v>COGS</x:v>
      </x:c>
      <x:c r="B5" s="4">
        <x:f>Inputs!B6+Inputs!C6+Inputs!D6+Inputs!E6</x:f>
        <x:v>8280000000</x:v>
      </x:c>
    </x:row>
    <x:row r="6" ht="27" customHeight="1">
      <x:c r="A6" s="2" t="str">
        <x:v>Operating expense</x:v>
      </x:c>
      <x:c r="B6" s="4">
        <x:f>Inputs!B7+Inputs!C7+Inputs!D7+Inputs!E7</x:f>
        <x:v>5290000000</x:v>
      </x:c>
    </x:row>
    <x:row r="7" ht="27" customHeight="1">
      <x:c r="A7" s="2" t="str">
        <x:v>Operating income</x:v>
      </x:c>
      <x:c r="B7" s="4">
        <x:f>Inputs!B8+Inputs!C8+Inputs!D8+Inputs!E8</x:f>
        <x:v>9430000000</x:v>
      </x:c>
    </x:row>
    <x:row r="8" ht="27" customHeight="1">
      <x:c r="A8" s="2" t="str">
        <x:v>SunCore revenue</x:v>
      </x:c>
      <x:c r="B8" s="4">
        <x:f>Inputs!B9+Inputs!C9+Inputs!D9+Inputs!E9</x:f>
        <x:v>16100000000</x:v>
      </x:c>
    </x:row>
    <x:row r="9" ht="27" customHeight="1">
      <x:c r="A9" s="2" t="str">
        <x:v>GulfSwitch revenue</x:v>
      </x:c>
      <x:c r="B9" s="4">
        <x:f>Inputs!B10+Inputs!C10+Inputs!D10+Inputs!E10</x:f>
        <x:v>6900000000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0.41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Profitable scale</x:v>
      </x:c>
    </x:row>
    <x:row r="6" ht="48" customHeight="1">
      <x:c r="A6" s="2" t="str">
        <x:v>Risk</x:v>
      </x:c>
      <x:c r="B6" s="2" t="str">
        <x:v>working-capital exposure from accelerated production commitments</x:v>
      </x:c>
    </x:row>
    <x:row r="7" ht="48" customHeight="1">
      <x:c r="A7" s="2" t="str">
        <x:v>Mitigation</x:v>
      </x:c>
      <x:c r="B7" s="2" t="str">
        <x:v>stage capacity commitments against qualification and accepted schedules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/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2026-10-15T16:46:16.0000000Z</dcterms:created>
  <lastModifiedBy>OfficeCLI</lastModifiedBy>
  <dcterms:modified xsi:type="dcterms:W3CDTF">2026-10-15T16:46:16.0000000Z</dcterms:modified>
  <dc:title>SunnySemi LLC - FY 2025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2026-10-15T16:46:19Z</vt:lpwstr>
  </op:property>
</op:Properties>
</file>