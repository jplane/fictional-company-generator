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d894672ce47d0" /><Relationship Type="http://schemas.openxmlformats.org/package/2006/relationships/metadata/core-properties" Target="/docProps/core.xml" Id="R57887cd0d3704665" /><Relationship Type="http://schemas.openxmlformats.org/officeDocument/2006/relationships/extended-properties" Target="/docProps/app.xml" Id="R98edf3af3ebb4899" /><Relationship Type="http://schemas.openxmlformats.org/officeDocument/2006/relationships/custom-properties" Target="/docProps/custom.xml" Id="R0b149c17423a4bc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83ec25fcc7554f5c"/>
    <x:sheet name="Summary" sheetId="3" r:id="Rfae72ce2eaf14b18"/>
    <x:sheet name="Notes" sheetId="4" r:id="R346cc408cb0044e6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487d0bf6d281427f" /><Relationship Type="http://schemas.openxmlformats.org/officeDocument/2006/relationships/styles" Target="/xl/styles.xml" Id="Rfc1ec430c9754a3d" /><Relationship Type="http://schemas.openxmlformats.org/officeDocument/2006/relationships/worksheet" Target="/xl/worksheets/sheet2.xml" Id="R83ec25fcc7554f5c" /><Relationship Type="http://schemas.openxmlformats.org/officeDocument/2006/relationships/worksheet" Target="/xl/worksheets/sheet3.xml" Id="Rfae72ce2eaf14b18" /><Relationship Type="http://schemas.openxmlformats.org/officeDocument/2006/relationships/worksheet" Target="/xl/worksheets/sheet4.xml" Id="R346cc408cb0044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FY 2023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2023</x:v>
      </x:c>
      <x:c r="C4" s="1" t="str">
        <x:v>Q2 2023</x:v>
      </x:c>
      <x:c r="D4" s="1" t="str">
        <x:v>Q3 2023</x:v>
      </x:c>
      <x:c r="E4" s="1" t="str">
        <x:v>Q4 2023</x:v>
      </x:c>
    </x:row>
    <x:row r="5" ht="27" customHeight="1">
      <x:c r="A5" s="2" t="str">
        <x:v>Recognized revenue</x:v>
      </x:c>
      <x:c r="B5" s="3">
        <x:v>1600000000</x:v>
      </x:c>
      <x:c r="C5" s="3">
        <x:v>1840000000</x:v>
      </x:c>
      <x:c r="D5" s="3">
        <x:v>2080000000</x:v>
      </x:c>
      <x:c r="E5" s="3">
        <x:v>2480000000</x:v>
      </x:c>
    </x:row>
    <x:row r="6" ht="27" customHeight="1">
      <x:c r="A6" s="2" t="str">
        <x:v>Cost of goods sold</x:v>
      </x:c>
      <x:c r="B6" s="3">
        <x:v>640000000</x:v>
      </x:c>
      <x:c r="C6" s="3">
        <x:v>736000000</x:v>
      </x:c>
      <x:c r="D6" s="3">
        <x:v>832000000</x:v>
      </x:c>
      <x:c r="E6" s="3">
        <x:v>992000000</x:v>
      </x:c>
    </x:row>
    <x:row r="7" ht="27" customHeight="1">
      <x:c r="A7" s="2" t="str">
        <x:v>Operating expense</x:v>
      </x:c>
      <x:c r="B7" s="3">
        <x:v>400000000</x:v>
      </x:c>
      <x:c r="C7" s="3">
        <x:v>460000000</x:v>
      </x:c>
      <x:c r="D7" s="3">
        <x:v>520000000</x:v>
      </x:c>
      <x:c r="E7" s="3">
        <x:v>620000000</x:v>
      </x:c>
    </x:row>
    <x:row r="8" ht="27" customHeight="1">
      <x:c r="A8" s="2" t="str">
        <x:v>Operating income</x:v>
      </x:c>
      <x:c r="B8" s="3">
        <x:v>560000000</x:v>
      </x:c>
      <x:c r="C8" s="3">
        <x:v>644000000</x:v>
      </x:c>
      <x:c r="D8" s="3">
        <x:v>728000000</x:v>
      </x:c>
      <x:c r="E8" s="3">
        <x:v>868000000</x:v>
      </x:c>
    </x:row>
    <x:row r="9" ht="27" customHeight="1">
      <x:c r="A9" s="2" t="str">
        <x:v>SunCore revenue</x:v>
      </x:c>
      <x:c r="B9" s="3">
        <x:v>1056000000</x:v>
      </x:c>
      <x:c r="C9" s="3">
        <x:v>1214400000</x:v>
      </x:c>
      <x:c r="D9" s="3">
        <x:v>1372800000</x:v>
      </x:c>
      <x:c r="E9" s="3">
        <x:v>1636800000</x:v>
      </x:c>
    </x:row>
    <x:row r="10" ht="27" customHeight="1">
      <x:c r="A10" s="2" t="str">
        <x:v>GulfSwitch revenue</x:v>
      </x:c>
      <x:c r="B10" s="3">
        <x:v>544000000</x:v>
      </x:c>
      <x:c r="C10" s="3">
        <x:v>625600000</x:v>
      </x:c>
      <x:c r="D10" s="3">
        <x:v>707200000</x:v>
      </x:c>
      <x:c r="E10" s="3">
        <x:v>843200000</x:v>
      </x:c>
    </x:row>
    <x:row r="11" ht="27" customHeight="1">
      <x:c r="A11" s="2" t="str">
        <x:v>Wafer cost</x:v>
      </x:c>
      <x:c r="B11" s="3">
        <x:v>416000000</x:v>
      </x:c>
      <x:c r="C11" s="3">
        <x:v>478400000</x:v>
      </x:c>
      <x:c r="D11" s="3">
        <x:v>540800000</x:v>
      </x:c>
      <x:c r="E11" s="3">
        <x:v>644800000</x:v>
      </x:c>
    </x:row>
    <x:row r="12" ht="27" customHeight="1">
      <x:c r="A12" s="2" t="str">
        <x:v>Package and test cost</x:v>
      </x:c>
      <x:c r="B12" s="3">
        <x:v>160000000</x:v>
      </x:c>
      <x:c r="C12" s="3">
        <x:v>184000000</x:v>
      </x:c>
      <x:c r="D12" s="3">
        <x:v>208000000</x:v>
      </x:c>
      <x:c r="E12" s="3">
        <x:v>248000000</x:v>
      </x:c>
    </x:row>
    <x:row r="13" ht="27" customHeight="1">
      <x:c r="A13" s="2" t="str">
        <x:v>Logistics cost</x:v>
      </x:c>
      <x:c r="B13" s="3">
        <x:v>64000000</x:v>
      </x:c>
      <x:c r="C13" s="3">
        <x:v>73600000</x:v>
      </x:c>
      <x:c r="D13" s="3">
        <x:v>83200000</x:v>
      </x:c>
      <x:c r="E13" s="3">
        <x:v>99200000</x:v>
      </x:c>
    </x:row>
    <x:row r="14" ht="27" customHeight="1">
      <x:c r="A14" s="2" t="str">
        <x:v>Engineering opex</x:v>
      </x:c>
      <x:c r="B14" s="3">
        <x:v>280000000</x:v>
      </x:c>
      <x:c r="C14" s="3">
        <x:v>322000000</x:v>
      </x:c>
      <x:c r="D14" s="3">
        <x:v>364000000</x:v>
      </x:c>
      <x:c r="E14" s="3">
        <x:v>434000000</x:v>
      </x:c>
    </x:row>
    <x:row r="15" ht="27" customHeight="1">
      <x:c r="A15" s="2" t="str">
        <x:v>Commercial/admin opex</x:v>
      </x:c>
      <x:c r="B15" s="3">
        <x:v>120000000</x:v>
      </x:c>
      <x:c r="C15" s="3">
        <x:v>138000000</x:v>
      </x:c>
      <x:c r="D15" s="3">
        <x:v>156000000</x:v>
      </x:c>
      <x:c r="E15" s="3">
        <x:v>186000000</x:v>
      </x:c>
    </x:row>
    <x:row r="16" ht="27" customHeight="1">
      <x:c r="A16" s="2" t="str">
        <x:v>Ending headcount</x:v>
      </x:c>
      <x:c r="B16" s="3">
        <x:v>2300</x:v>
      </x:c>
      <x:c r="C16" s="3">
        <x:v>2350</x:v>
      </x:c>
      <x:c r="D16" s="3">
        <x:v>2400</x:v>
      </x:c>
      <x:c r="E16" s="3">
        <x:v>2450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2023</x:v>
      </x:c>
      <x:c r="C3" s="1" t="str">
        <x:v>Q2 2023</x:v>
      </x:c>
      <x:c r="D3" s="1" t="str">
        <x:v>Q3 2023</x:v>
      </x:c>
      <x:c r="E3" s="1" t="str">
        <x:v>Q4 2023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960000000</x:v>
      </x:c>
      <x:c r="C5" s="4">
        <x:f>Inputs!C5-Inputs!C6</x:f>
        <x:v>1104000000</x:v>
      </x:c>
      <x:c r="D5" s="4">
        <x:f>Inputs!D5-Inputs!D6</x:f>
        <x:v>1248000000</x:v>
      </x:c>
      <x:c r="E5" s="4">
        <x:f>Inputs!E5-Inputs!E6</x:f>
        <x:v>1488000000</x:v>
      </x:c>
    </x:row>
    <x:row r="6" ht="27" customHeight="1">
      <x:c r="A6" s="2" t="str">
        <x:v>Calculated operating income</x:v>
      </x:c>
      <x:c r="B6" s="4">
        <x:f>B5-Inputs!B7</x:f>
        <x:v>560000000</x:v>
      </x:c>
      <x:c r="C6" s="4">
        <x:f>C5-Inputs!C7</x:f>
        <x:v>644000000</x:v>
      </x:c>
      <x:c r="D6" s="4">
        <x:f>D5-Inputs!D7</x:f>
        <x:v>728000000</x:v>
      </x:c>
      <x:c r="E6" s="4">
        <x:f>E5-Inputs!E7</x:f>
        <x:v>868000000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  <x:c r="D7" s="4">
        <x:f>D6-Inputs!D8</x:f>
        <x:v>0</x:v>
      </x:c>
      <x:c r="E7" s="4">
        <x:f>E6-Inputs!E8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0.6</x:v>
      </x:c>
      <x:c r="C9" s="4">
        <x:f>C5/Inputs!C5</x:f>
        <x:v>0.6</x:v>
      </x:c>
      <x:c r="D9" s="4">
        <x:f>D5/Inputs!D5</x:f>
        <x:v>0.6</x:v>
      </x:c>
      <x:c r="E9" s="4">
        <x:f>E5/Inputs!E5</x:f>
        <x:v>0.6</x:v>
      </x:c>
    </x:row>
    <x:row r="10" ht="27" customHeight="1">
      <x:c r="A10" s="2" t="str">
        <x:v>Operating margin (ratio)</x:v>
      </x:c>
      <x:c r="B10" s="4">
        <x:f>B6/Inputs!B5</x:f>
        <x:v>0.35</x:v>
      </x:c>
      <x:c r="C10" s="4">
        <x:f>C6/Inputs!C5</x:f>
        <x:v>0.35</x:v>
      </x:c>
      <x:c r="D10" s="4">
        <x:f>D6/Inputs!D5</x:f>
        <x:v>0.35</x:v>
      </x:c>
      <x:c r="E10" s="4">
        <x:f>E6/Inputs!E5</x:f>
        <x:v>0.35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1600000000</x:v>
      </x:c>
      <x:c r="C12" s="4">
        <x:f>Inputs!C9+Inputs!C10</x:f>
        <x:v>1840000000</x:v>
      </x:c>
      <x:c r="D12" s="4">
        <x:f>Inputs!D9+Inputs!D10</x:f>
        <x:v>2080000000</x:v>
      </x:c>
      <x:c r="E12" s="4">
        <x:f>Inputs!E9+Inputs!E10</x:f>
        <x:v>2480000000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  <x:c r="D13" s="4">
        <x:f>D12-Inputs!D5</x:f>
        <x:v>0</x:v>
      </x:c>
      <x:c r="E13" s="4">
        <x:f>E12-Inputs!E5</x:f>
        <x:v>0</x:v>
      </x:c>
    </x:row>
    <x:row r="14" ht="27" customHeight="1">
      <x:c r="A14" s="2" t="str">
        <x:v>SunCore share (ratio)</x:v>
      </x:c>
      <x:c r="B14" s="4">
        <x:f>Inputs!B9/Inputs!B5</x:f>
        <x:v>0.66</x:v>
      </x:c>
      <x:c r="C14" s="4">
        <x:f>Inputs!C9/Inputs!C5</x:f>
        <x:v>0.66</x:v>
      </x:c>
      <x:c r="D14" s="4">
        <x:f>Inputs!D9/Inputs!D5</x:f>
        <x:v>0.66</x:v>
      </x:c>
      <x:c r="E14" s="4">
        <x:f>Inputs!E9/Inputs!E5</x:f>
        <x:v>0.66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640000000</x:v>
      </x:c>
      <x:c r="C16" s="4">
        <x:f>Inputs!C11+Inputs!C12+Inputs!C13</x:f>
        <x:v>736000000</x:v>
      </x:c>
      <x:c r="D16" s="4">
        <x:f>Inputs!D11+Inputs!D12+Inputs!D13</x:f>
        <x:v>832000000</x:v>
      </x:c>
      <x:c r="E16" s="4">
        <x:f>Inputs!E11+Inputs!E12+Inputs!E13</x:f>
        <x:v>992000000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  <x:c r="D17" s="4">
        <x:f>D16-Inputs!D6</x:f>
        <x:v>0</x:v>
      </x:c>
      <x:c r="E17" s="4">
        <x:f>E16-Inputs!E6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  <x:c r="D18" s="4">
        <x:f>Inputs!D11/Inputs!D6</x:f>
        <x:v>0.65</x:v>
      </x:c>
      <x:c r="E18" s="4">
        <x:f>Inputs!E11/Inputs!E6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400000000</x:v>
      </x:c>
      <x:c r="C20" s="4">
        <x:f>Inputs!C14+Inputs!C15</x:f>
        <x:v>460000000</x:v>
      </x:c>
      <x:c r="D20" s="4">
        <x:f>Inputs!D14+Inputs!D15</x:f>
        <x:v>520000000</x:v>
      </x:c>
      <x:c r="E20" s="4">
        <x:f>Inputs!E14+Inputs!E15</x:f>
        <x:v>620000000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  <x:c r="D21" s="4">
        <x:f>D20-Inputs!D7</x:f>
        <x:v>0</x:v>
      </x:c>
      <x:c r="E21" s="4">
        <x:f>E20-Inputs!E7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  <x:c r="D22" s="4">
        <x:f>Inputs!D14/Inputs!D7</x:f>
        <x:v>0.7</x:v>
      </x:c>
      <x:c r="E22" s="4">
        <x:f>Inputs!E14/Inputs!E7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240000000</x:v>
      </x:c>
      <x:c r="D24" s="4">
        <x:f>Inputs!D5-Inputs!C5</x:f>
        <x:v>240000000</x:v>
      </x:c>
      <x:c r="E24" s="4">
        <x:f>Inputs!E5-Inputs!D5</x:f>
        <x:v>400000000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84000000</x:v>
      </x:c>
      <x:c r="D25" s="4">
        <x:f>Inputs!D8-Inputs!C8</x:f>
        <x:v>84000000</x:v>
      </x:c>
      <x:c r="E25" s="4">
        <x:f>Inputs!E8-Inputs!D8</x:f>
        <x:v>140000000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50</x:v>
      </x:c>
      <x:c r="D26" s="4">
        <x:f>Inputs!D16-Inputs!C16</x:f>
        <x:v>50</x:v>
      </x:c>
      <x:c r="E26" s="4">
        <x:f>Inputs!E16-Inputs!D16</x:f>
        <x:v>50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Inputs!B5+Inputs!C5+Inputs!D5+Inputs!E5</x:f>
        <x:v>8000000000</x:v>
      </x:c>
    </x:row>
    <x:row r="5" ht="27" customHeight="1">
      <x:c r="A5" s="2" t="str">
        <x:v>COGS</x:v>
      </x:c>
      <x:c r="B5" s="4">
        <x:f>Inputs!B6+Inputs!C6+Inputs!D6+Inputs!E6</x:f>
        <x:v>3200000000</x:v>
      </x:c>
    </x:row>
    <x:row r="6" ht="27" customHeight="1">
      <x:c r="A6" s="2" t="str">
        <x:v>Operating expense</x:v>
      </x:c>
      <x:c r="B6" s="4">
        <x:f>Inputs!B7+Inputs!C7+Inputs!D7+Inputs!E7</x:f>
        <x:v>2000000000</x:v>
      </x:c>
    </x:row>
    <x:row r="7" ht="27" customHeight="1">
      <x:c r="A7" s="2" t="str">
        <x:v>Operating income</x:v>
      </x:c>
      <x:c r="B7" s="4">
        <x:f>Inputs!B8+Inputs!C8+Inputs!D8+Inputs!E8</x:f>
        <x:v>2800000000</x:v>
      </x:c>
    </x:row>
    <x:row r="8" ht="27" customHeight="1">
      <x:c r="A8" s="2" t="str">
        <x:v>SunCore revenue</x:v>
      </x:c>
      <x:c r="B8" s="4">
        <x:f>Inputs!B9+Inputs!C9+Inputs!D9+Inputs!E9</x:f>
        <x:v>5280000000</x:v>
      </x:c>
    </x:row>
    <x:row r="9" ht="27" customHeight="1">
      <x:c r="A9" s="2" t="str">
        <x:v>GulfSwitch revenue</x:v>
      </x:c>
      <x:c r="B9" s="4">
        <x:f>Inputs!B10+Inputs!C10+Inputs!D10+Inputs!E10</x:f>
        <x:v>2720000000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0.35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Software maturity</x:v>
      </x:c>
    </x:row>
    <x:row r="6" ht="48" customHeight="1">
      <x:c r="A6" s="2" t="str">
        <x:v>Risk</x:v>
      </x:c>
      <x:c r="B6" s="2" t="str">
        <x:v>compiler regressions across model updates</x:v>
      </x:c>
    </x:row>
    <x:row r="7" ht="48" customHeight="1">
      <x:c r="A7" s="2" t="str">
        <x:v>Mitigation</x:v>
      </x:c>
      <x:c r="B7" s="2" t="str">
        <x:v>freeze the supported operator set and retain regression evidence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2026-10-15T17:20:16.0000000Z</dcterms:created>
  <lastModifiedBy>OfficeCLI</lastModifiedBy>
  <dcterms:modified xsi:type="dcterms:W3CDTF">2026-10-15T17:20:16.0000000Z</dcterms:modified>
  <dc:title>SunnySemi LLC - FY 2023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2026-10-15T17:20:20Z</vt:lpwstr>
  </op:property>
</op:Properties>
</file>