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aebb06b4b4f03" /><Relationship Type="http://schemas.openxmlformats.org/package/2006/relationships/metadata/core-properties" Target="/docProps/core.xml" Id="Rc500a3bb132c466f" /><Relationship Type="http://schemas.openxmlformats.org/officeDocument/2006/relationships/extended-properties" Target="/docProps/app.xml" Id="Rfdc65a67e8c64fc2" /><Relationship Type="http://schemas.openxmlformats.org/officeDocument/2006/relationships/custom-properties" Target="/docProps/custom.xml" Id="R49022e1d15154bd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24094ee9e72f47a7"/>
    <x:sheet name="Summary" sheetId="3" r:id="R6f4ac95e23aa4e25"/>
    <x:sheet name="Notes" sheetId="4" r:id="Rac766c5e014d4d32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8e3924c9ad24c53" /><Relationship Type="http://schemas.openxmlformats.org/officeDocument/2006/relationships/styles" Target="/xl/styles.xml" Id="R5c1070963fed47b6" /><Relationship Type="http://schemas.openxmlformats.org/officeDocument/2006/relationships/worksheet" Target="/xl/worksheets/sheet2.xml" Id="R24094ee9e72f47a7" /><Relationship Type="http://schemas.openxmlformats.org/officeDocument/2006/relationships/worksheet" Target="/xl/worksheets/sheet3.xml" Id="R6f4ac95e23aa4e25" /><Relationship Type="http://schemas.openxmlformats.org/officeDocument/2006/relationships/worksheet" Target="/xl/worksheets/sheet4.xml" Id="Rac766c5e014d4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2022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2022</x:v>
      </x:c>
      <x:c r="C4" s="1" t="str">
        <x:v>Q2 2022</x:v>
      </x:c>
      <x:c r="D4" s="1" t="str">
        <x:v>Q3 2022</x:v>
      </x:c>
      <x:c r="E4" s="1" t="str">
        <x:v>Q4 2022</x:v>
      </x:c>
    </x:row>
    <x:row r="5" ht="27" customHeight="1">
      <x:c r="A5" s="2" t="str">
        <x:v>Recognized revenue</x:v>
      </x:c>
      <x:c r="B5" s="3">
        <x:v>900000000</x:v>
      </x:c>
      <x:c r="C5" s="3">
        <x:v>1035000000</x:v>
      </x:c>
      <x:c r="D5" s="3">
        <x:v>1170000000</x:v>
      </x:c>
      <x:c r="E5" s="3">
        <x:v>1395000000</x:v>
      </x:c>
    </x:row>
    <x:row r="6" ht="27" customHeight="1">
      <x:c r="A6" s="2" t="str">
        <x:v>Cost of goods sold</x:v>
      </x:c>
      <x:c r="B6" s="3">
        <x:v>378000000</x:v>
      </x:c>
      <x:c r="C6" s="3">
        <x:v>434700000</x:v>
      </x:c>
      <x:c r="D6" s="3">
        <x:v>491400000</x:v>
      </x:c>
      <x:c r="E6" s="3">
        <x:v>585900000</x:v>
      </x:c>
    </x:row>
    <x:row r="7" ht="27" customHeight="1">
      <x:c r="A7" s="2" t="str">
        <x:v>Operating expense</x:v>
      </x:c>
      <x:c r="B7" s="3">
        <x:v>234000000</x:v>
      </x:c>
      <x:c r="C7" s="3">
        <x:v>269100000</x:v>
      </x:c>
      <x:c r="D7" s="3">
        <x:v>304200000</x:v>
      </x:c>
      <x:c r="E7" s="3">
        <x:v>362700000</x:v>
      </x:c>
    </x:row>
    <x:row r="8" ht="27" customHeight="1">
      <x:c r="A8" s="2" t="str">
        <x:v>Operating income</x:v>
      </x:c>
      <x:c r="B8" s="3">
        <x:v>288000000</x:v>
      </x:c>
      <x:c r="C8" s="3">
        <x:v>331200000</x:v>
      </x:c>
      <x:c r="D8" s="3">
        <x:v>374400000</x:v>
      </x:c>
      <x:c r="E8" s="3">
        <x:v>446400000</x:v>
      </x:c>
    </x:row>
    <x:row r="9" ht="27" customHeight="1">
      <x:c r="A9" s="2" t="str">
        <x:v>SunCore revenue</x:v>
      </x:c>
      <x:c r="B9" s="3">
        <x:v>576000000</x:v>
      </x:c>
      <x:c r="C9" s="3">
        <x:v>662400000</x:v>
      </x:c>
      <x:c r="D9" s="3">
        <x:v>748800000</x:v>
      </x:c>
      <x:c r="E9" s="3">
        <x:v>892800000</x:v>
      </x:c>
    </x:row>
    <x:row r="10" ht="27" customHeight="1">
      <x:c r="A10" s="2" t="str">
        <x:v>GulfSwitch revenue</x:v>
      </x:c>
      <x:c r="B10" s="3">
        <x:v>324000000</x:v>
      </x:c>
      <x:c r="C10" s="3">
        <x:v>372600000</x:v>
      </x:c>
      <x:c r="D10" s="3">
        <x:v>421200000</x:v>
      </x:c>
      <x:c r="E10" s="3">
        <x:v>502200000</x:v>
      </x:c>
    </x:row>
    <x:row r="11" ht="27" customHeight="1">
      <x:c r="A11" s="2" t="str">
        <x:v>Wafer cost</x:v>
      </x:c>
      <x:c r="B11" s="3">
        <x:v>245700000</x:v>
      </x:c>
      <x:c r="C11" s="3">
        <x:v>282555000</x:v>
      </x:c>
      <x:c r="D11" s="3">
        <x:v>319410000</x:v>
      </x:c>
      <x:c r="E11" s="3">
        <x:v>380835000</x:v>
      </x:c>
    </x:row>
    <x:row r="12" ht="27" customHeight="1">
      <x:c r="A12" s="2" t="str">
        <x:v>Package and test cost</x:v>
      </x:c>
      <x:c r="B12" s="3">
        <x:v>94500000</x:v>
      </x:c>
      <x:c r="C12" s="3">
        <x:v>108675000</x:v>
      </x:c>
      <x:c r="D12" s="3">
        <x:v>122850000</x:v>
      </x:c>
      <x:c r="E12" s="3">
        <x:v>146475000</x:v>
      </x:c>
    </x:row>
    <x:row r="13" ht="27" customHeight="1">
      <x:c r="A13" s="2" t="str">
        <x:v>Logistics cost</x:v>
      </x:c>
      <x:c r="B13" s="3">
        <x:v>37800000</x:v>
      </x:c>
      <x:c r="C13" s="3">
        <x:v>43470000</x:v>
      </x:c>
      <x:c r="D13" s="3">
        <x:v>49140000</x:v>
      </x:c>
      <x:c r="E13" s="3">
        <x:v>58590000</x:v>
      </x:c>
    </x:row>
    <x:row r="14" ht="27" customHeight="1">
      <x:c r="A14" s="2" t="str">
        <x:v>Engineering opex</x:v>
      </x:c>
      <x:c r="B14" s="3">
        <x:v>163800000</x:v>
      </x:c>
      <x:c r="C14" s="3">
        <x:v>188370000</x:v>
      </x:c>
      <x:c r="D14" s="3">
        <x:v>212940000</x:v>
      </x:c>
      <x:c r="E14" s="3">
        <x:v>253890000</x:v>
      </x:c>
    </x:row>
    <x:row r="15" ht="27" customHeight="1">
      <x:c r="A15" s="2" t="str">
        <x:v>Commercial/admin opex</x:v>
      </x:c>
      <x:c r="B15" s="3">
        <x:v>70200000</x:v>
      </x:c>
      <x:c r="C15" s="3">
        <x:v>80730000</x:v>
      </x:c>
      <x:c r="D15" s="3">
        <x:v>91260000</x:v>
      </x:c>
      <x:c r="E15" s="3">
        <x:v>108810000</x:v>
      </x:c>
    </x:row>
    <x:row r="16" ht="27" customHeight="1">
      <x:c r="A16" s="2" t="str">
        <x:v>Ending headcount</x:v>
      </x:c>
      <x:c r="B16" s="3">
        <x:v>1430</x:v>
      </x:c>
      <x:c r="C16" s="3">
        <x:v>1470</x:v>
      </x:c>
      <x:c r="D16" s="3">
        <x:v>1510</x:v>
      </x:c>
      <x:c r="E16" s="3">
        <x:v>1550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2022</x:v>
      </x:c>
      <x:c r="C3" s="1" t="str">
        <x:v>Q2 2022</x:v>
      </x:c>
      <x:c r="D3" s="1" t="str">
        <x:v>Q3 2022</x:v>
      </x:c>
      <x:c r="E3" s="1" t="str">
        <x:v>Q4 2022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522000000</x:v>
      </x:c>
      <x:c r="C5" s="4">
        <x:f>Inputs!C5-Inputs!C6</x:f>
        <x:v>600300000</x:v>
      </x:c>
      <x:c r="D5" s="4">
        <x:f>Inputs!D5-Inputs!D6</x:f>
        <x:v>678600000</x:v>
      </x:c>
      <x:c r="E5" s="4">
        <x:f>Inputs!E5-Inputs!E6</x:f>
        <x:v>809100000</x:v>
      </x:c>
    </x:row>
    <x:row r="6" ht="27" customHeight="1">
      <x:c r="A6" s="2" t="str">
        <x:v>Calculated operating income</x:v>
      </x:c>
      <x:c r="B6" s="4">
        <x:f>B5-Inputs!B7</x:f>
        <x:v>288000000</x:v>
      </x:c>
      <x:c r="C6" s="4">
        <x:f>C5-Inputs!C7</x:f>
        <x:v>331200000</x:v>
      </x:c>
      <x:c r="D6" s="4">
        <x:f>D5-Inputs!D7</x:f>
        <x:v>374400000</x:v>
      </x:c>
      <x:c r="E6" s="4">
        <x:f>E5-Inputs!E7</x:f>
        <x:v>446400000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0.58</x:v>
      </x:c>
      <x:c r="C9" s="4">
        <x:f>C5/Inputs!C5</x:f>
        <x:v>0.58</x:v>
      </x:c>
      <x:c r="D9" s="4">
        <x:f>D5/Inputs!D5</x:f>
        <x:v>0.58</x:v>
      </x:c>
      <x:c r="E9" s="4">
        <x:f>E5/Inputs!E5</x:f>
        <x:v>0.58</x:v>
      </x:c>
    </x:row>
    <x:row r="10" ht="27" customHeight="1">
      <x:c r="A10" s="2" t="str">
        <x:v>Operating margin (ratio)</x:v>
      </x:c>
      <x:c r="B10" s="4">
        <x:f>B6/Inputs!B5</x:f>
        <x:v>0.32</x:v>
      </x:c>
      <x:c r="C10" s="4">
        <x:f>C6/Inputs!C5</x:f>
        <x:v>0.32</x:v>
      </x:c>
      <x:c r="D10" s="4">
        <x:f>D6/Inputs!D5</x:f>
        <x:v>0.32</x:v>
      </x:c>
      <x:c r="E10" s="4">
        <x:f>E6/Inputs!E5</x:f>
        <x:v>0.32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900000000</x:v>
      </x:c>
      <x:c r="C12" s="4">
        <x:f>Inputs!C9+Inputs!C10</x:f>
        <x:v>1035000000</x:v>
      </x:c>
      <x:c r="D12" s="4">
        <x:f>Inputs!D9+Inputs!D10</x:f>
        <x:v>1170000000</x:v>
      </x:c>
      <x:c r="E12" s="4">
        <x:f>Inputs!E9+Inputs!E10</x:f>
        <x:v>1395000000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0.64</x:v>
      </x:c>
      <x:c r="C14" s="4">
        <x:f>Inputs!C9/Inputs!C5</x:f>
        <x:v>0.64</x:v>
      </x:c>
      <x:c r="D14" s="4">
        <x:f>Inputs!D9/Inputs!D5</x:f>
        <x:v>0.64</x:v>
      </x:c>
      <x:c r="E14" s="4">
        <x:f>Inputs!E9/Inputs!E5</x:f>
        <x:v>0.64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378000000</x:v>
      </x:c>
      <x:c r="C16" s="4">
        <x:f>Inputs!C11+Inputs!C12+Inputs!C13</x:f>
        <x:v>434700000</x:v>
      </x:c>
      <x:c r="D16" s="4">
        <x:f>Inputs!D11+Inputs!D12+Inputs!D13</x:f>
        <x:v>491400000</x:v>
      </x:c>
      <x:c r="E16" s="4">
        <x:f>Inputs!E11+Inputs!E12+Inputs!E13</x:f>
        <x:v>585900000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234000000</x:v>
      </x:c>
      <x:c r="C20" s="4">
        <x:f>Inputs!C14+Inputs!C15</x:f>
        <x:v>269100000</x:v>
      </x:c>
      <x:c r="D20" s="4">
        <x:f>Inputs!D14+Inputs!D15</x:f>
        <x:v>304200000</x:v>
      </x:c>
      <x:c r="E20" s="4">
        <x:f>Inputs!E14+Inputs!E15</x:f>
        <x:v>362700000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135000000</x:v>
      </x:c>
      <x:c r="D24" s="4">
        <x:f>Inputs!D5-Inputs!C5</x:f>
        <x:v>135000000</x:v>
      </x:c>
      <x:c r="E24" s="4">
        <x:f>Inputs!E5-Inputs!D5</x:f>
        <x:v>225000000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43200000</x:v>
      </x:c>
      <x:c r="D25" s="4">
        <x:f>Inputs!D8-Inputs!C8</x:f>
        <x:v>43200000</x:v>
      </x:c>
      <x:c r="E25" s="4">
        <x:f>Inputs!E8-Inputs!D8</x:f>
        <x:v>72000000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40</x:v>
      </x:c>
      <x:c r="D26" s="4">
        <x:f>Inputs!D16-Inputs!C16</x:f>
        <x:v>40</x:v>
      </x:c>
      <x:c r="E26" s="4">
        <x:f>Inputs!E16-Inputs!D16</x:f>
        <x:v>40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4500000000</x:v>
      </x:c>
    </x:row>
    <x:row r="5" ht="27" customHeight="1">
      <x:c r="A5" s="2" t="str">
        <x:v>COGS</x:v>
      </x:c>
      <x:c r="B5" s="4">
        <x:f>Inputs!B6+Inputs!C6+Inputs!D6+Inputs!E6</x:f>
        <x:v>1890000000</x:v>
      </x:c>
    </x:row>
    <x:row r="6" ht="27" customHeight="1">
      <x:c r="A6" s="2" t="str">
        <x:v>Operating expense</x:v>
      </x:c>
      <x:c r="B6" s="4">
        <x:f>Inputs!B7+Inputs!C7+Inputs!D7+Inputs!E7</x:f>
        <x:v>1170000000</x:v>
      </x:c>
    </x:row>
    <x:row r="7" ht="27" customHeight="1">
      <x:c r="A7" s="2" t="str">
        <x:v>Operating income</x:v>
      </x:c>
      <x:c r="B7" s="4">
        <x:f>Inputs!B8+Inputs!C8+Inputs!D8+Inputs!E8</x:f>
        <x:v>1440000000</x:v>
      </x:c>
    </x:row>
    <x:row r="8" ht="27" customHeight="1">
      <x:c r="A8" s="2" t="str">
        <x:v>SunCore revenue</x:v>
      </x:c>
      <x:c r="B8" s="4">
        <x:f>Inputs!B9+Inputs!C9+Inputs!D9+Inputs!E9</x:f>
        <x:v>2880000000</x:v>
      </x:c>
    </x:row>
    <x:row r="9" ht="27" customHeight="1">
      <x:c r="A9" s="2" t="str">
        <x:v>GulfSwitch revenue</x:v>
      </x:c>
      <x:c r="B9" s="4">
        <x:f>Inputs!B10+Inputs!C10+Inputs!D10+Inputs!E10</x:f>
        <x:v>1620000000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0.32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Package readiness</x:v>
      </x:c>
    </x:row>
    <x:row r="6" ht="48" customHeight="1">
      <x:c r="A6" s="2" t="str">
        <x:v>Risk</x:v>
      </x:c>
      <x:c r="B6" s="2" t="str">
        <x:v>package-test capacity becoming the binding constraint</x:v>
      </x:c>
    </x:row>
    <x:row r="7" ht="48" customHeight="1">
      <x:c r="A7" s="2" t="str">
        <x:v>Mitigation</x:v>
      </x:c>
      <x:c r="B7" s="2" t="str">
        <x:v>reserve package-test slots before accepting accelerated ramps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2026-10-15T17:19:43.0000000Z</dcterms:created>
  <lastModifiedBy>OfficeCLI</lastModifiedBy>
  <dcterms:modified xsi:type="dcterms:W3CDTF">2026-10-15T17:19:43.0000000Z</dcterms:modified>
  <dc:title>SunnySemi LLC - FY 2022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2026-10-15T17:19:46Z</vt:lpwstr>
  </op:property>
</op:Properties>
</file>