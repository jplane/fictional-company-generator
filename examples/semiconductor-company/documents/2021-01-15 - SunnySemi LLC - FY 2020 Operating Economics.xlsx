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2df23876ff496a" /><Relationship Type="http://schemas.openxmlformats.org/package/2006/relationships/metadata/core-properties" Target="/docProps/core.xml" Id="R6b68955e2c1846e9" /><Relationship Type="http://schemas.openxmlformats.org/officeDocument/2006/relationships/extended-properties" Target="/docProps/app.xml" Id="R898cd9f727b7412b" /><Relationship Type="http://schemas.openxmlformats.org/officeDocument/2006/relationships/custom-properties" Target="/docProps/custom.xml" Id="Rb25e5ccb4ec7467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Inputs" sheetId="1" r:id="rId1"/>
    <x:sheet name="Calc" sheetId="2" r:id="R93692418dcbd4b52"/>
    <x:sheet name="Summary" sheetId="3" r:id="Rba38ca21887a4194"/>
    <x:sheet name="Notes" sheetId="4" r:id="Ra761a414bc874cbc"/>
  </x:sheets>
  <x:calcPr fullCalcOnLoad="1"/>
</x:workbook>
</file>

<file path=xl/styles.xml><?xml version="1.0" encoding="utf-8"?>
<x:styleSheet xmlns:x="http://schemas.openxmlformats.org/spreadsheetml/2006/main">
  <x:numFmts count="2">
    <x:numFmt numFmtId="164" formatCode="#,##0;(#,##0);-"/>
    <x:numFmt numFmtId="165" formatCode="#,##0.00;(#,##0.00);-"/>
  </x:numFmts>
  <x:fonts count="4">
    <x:font>
      <x:sz val="11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  <x:font>
      <x:sz val="11"/>
      <x:color rgb="FF008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23B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/>
    <x:xf numFmtId="0" fontId="1" fillId="2" borderId="0" applyFont="1" applyFill="1" applyAlignment="1">
      <x:alignment vertical="center" wrapText="1"/>
    </x:xf>
    <x:xf numFmtId="0" fontId="0" fillId="0" borderId="0" applyFont="1" applyAlignment="1">
      <x:alignment vertical="center" wrapText="1"/>
    </x:xf>
    <x:xf numFmtId="164" fontId="2" fillId="0" borderId="0" applyNumberFormat="1" applyFont="1" applyAlignment="1">
      <x:alignment vertical="center" wrapText="1"/>
    </x:xf>
    <x:xf numFmtId="165" fontId="3" fillId="0" borderId="0" applyNumberFormat="1" applyFont="1" applyAlignment="1">
      <x:alignment vertical="center" wrapText="1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980da8c55b524fc1" /><Relationship Type="http://schemas.openxmlformats.org/officeDocument/2006/relationships/styles" Target="/xl/styles.xml" Id="Rdf419464b826422e" /><Relationship Type="http://schemas.openxmlformats.org/officeDocument/2006/relationships/worksheet" Target="/xl/worksheets/sheet2.xml" Id="R93692418dcbd4b52" /><Relationship Type="http://schemas.openxmlformats.org/officeDocument/2006/relationships/worksheet" Target="/xl/worksheets/sheet3.xml" Id="Rba38ca21887a4194" /><Relationship Type="http://schemas.openxmlformats.org/officeDocument/2006/relationships/worksheet" Target="/xl/worksheets/sheet4.xml" Id="Ra761a414bc874cb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SunnySemi LLC - FY 2020 Operating Economics</x:v>
      </x:c>
    </x:row>
    <x:row r="2" ht="27" customHeight="1"/>
    <x:row r="3" ht="27" customHeight="1">
      <x:c r="A3" s="1" t="str">
        <x:v>USD unless noted; headcount is point-in-time.</x:v>
      </x:c>
    </x:row>
    <x:row r="4" ht="27" customHeight="1">
      <x:c r="B4" s="1" t="str">
        <x:v>Q1 2020</x:v>
      </x:c>
      <x:c r="C4" s="1" t="str">
        <x:v>Q2 2020</x:v>
      </x:c>
      <x:c r="D4" s="1" t="str">
        <x:v>Q3 2020</x:v>
      </x:c>
      <x:c r="E4" s="1" t="str">
        <x:v>Q4 2020</x:v>
      </x:c>
    </x:row>
    <x:row r="5" ht="27" customHeight="1">
      <x:c r="A5" s="2" t="str">
        <x:v>Recognized revenue</x:v>
      </x:c>
      <x:c r="B5" s="3">
        <x:v>240000000</x:v>
      </x:c>
      <x:c r="C5" s="3">
        <x:v>276000000</x:v>
      </x:c>
      <x:c r="D5" s="3">
        <x:v>312000000</x:v>
      </x:c>
      <x:c r="E5" s="3">
        <x:v>372000000</x:v>
      </x:c>
    </x:row>
    <x:row r="6" ht="27" customHeight="1">
      <x:c r="A6" s="2" t="str">
        <x:v>Cost of goods sold</x:v>
      </x:c>
      <x:c r="B6" s="3">
        <x:v>110400000</x:v>
      </x:c>
      <x:c r="C6" s="3">
        <x:v>126960000</x:v>
      </x:c>
      <x:c r="D6" s="3">
        <x:v>143520000</x:v>
      </x:c>
      <x:c r="E6" s="3">
        <x:v>171120000</x:v>
      </x:c>
    </x:row>
    <x:row r="7" ht="27" customHeight="1">
      <x:c r="A7" s="2" t="str">
        <x:v>Operating expense</x:v>
      </x:c>
      <x:c r="B7" s="3">
        <x:v>67200000</x:v>
      </x:c>
      <x:c r="C7" s="3">
        <x:v>77280000</x:v>
      </x:c>
      <x:c r="D7" s="3">
        <x:v>87360000</x:v>
      </x:c>
      <x:c r="E7" s="3">
        <x:v>104160000</x:v>
      </x:c>
    </x:row>
    <x:row r="8" ht="27" customHeight="1">
      <x:c r="A8" s="2" t="str">
        <x:v>Operating income</x:v>
      </x:c>
      <x:c r="B8" s="3">
        <x:v>62400000</x:v>
      </x:c>
      <x:c r="C8" s="3">
        <x:v>71760000</x:v>
      </x:c>
      <x:c r="D8" s="3">
        <x:v>81120000</x:v>
      </x:c>
      <x:c r="E8" s="3">
        <x:v>96720000</x:v>
      </x:c>
    </x:row>
    <x:row r="9" ht="27" customHeight="1">
      <x:c r="A9" s="2" t="str">
        <x:v>SunCore revenue</x:v>
      </x:c>
      <x:c r="B9" s="3">
        <x:v>144000000</x:v>
      </x:c>
      <x:c r="C9" s="3">
        <x:v>165600000</x:v>
      </x:c>
      <x:c r="D9" s="3">
        <x:v>187200000</x:v>
      </x:c>
      <x:c r="E9" s="3">
        <x:v>223200000</x:v>
      </x:c>
    </x:row>
    <x:row r="10" ht="27" customHeight="1">
      <x:c r="A10" s="2" t="str">
        <x:v>GulfSwitch revenue</x:v>
      </x:c>
      <x:c r="B10" s="3">
        <x:v>96000000</x:v>
      </x:c>
      <x:c r="C10" s="3">
        <x:v>110400000</x:v>
      </x:c>
      <x:c r="D10" s="3">
        <x:v>124800000</x:v>
      </x:c>
      <x:c r="E10" s="3">
        <x:v>148800000</x:v>
      </x:c>
    </x:row>
    <x:row r="11" ht="27" customHeight="1">
      <x:c r="A11" s="2" t="str">
        <x:v>Wafer cost</x:v>
      </x:c>
      <x:c r="B11" s="3">
        <x:v>71760000</x:v>
      </x:c>
      <x:c r="C11" s="3">
        <x:v>82524000</x:v>
      </x:c>
      <x:c r="D11" s="3">
        <x:v>93288000</x:v>
      </x:c>
      <x:c r="E11" s="3">
        <x:v>111228000</x:v>
      </x:c>
    </x:row>
    <x:row r="12" ht="27" customHeight="1">
      <x:c r="A12" s="2" t="str">
        <x:v>Package and test cost</x:v>
      </x:c>
      <x:c r="B12" s="3">
        <x:v>27600000</x:v>
      </x:c>
      <x:c r="C12" s="3">
        <x:v>31740000</x:v>
      </x:c>
      <x:c r="D12" s="3">
        <x:v>35880000</x:v>
      </x:c>
      <x:c r="E12" s="3">
        <x:v>42780000</x:v>
      </x:c>
    </x:row>
    <x:row r="13" ht="27" customHeight="1">
      <x:c r="A13" s="2" t="str">
        <x:v>Logistics cost</x:v>
      </x:c>
      <x:c r="B13" s="3">
        <x:v>11040000</x:v>
      </x:c>
      <x:c r="C13" s="3">
        <x:v>12696000</x:v>
      </x:c>
      <x:c r="D13" s="3">
        <x:v>14352000</x:v>
      </x:c>
      <x:c r="E13" s="3">
        <x:v>17112000</x:v>
      </x:c>
    </x:row>
    <x:row r="14" ht="27" customHeight="1">
      <x:c r="A14" s="2" t="str">
        <x:v>Engineering opex</x:v>
      </x:c>
      <x:c r="B14" s="3">
        <x:v>47040000</x:v>
      </x:c>
      <x:c r="C14" s="3">
        <x:v>54096000</x:v>
      </x:c>
      <x:c r="D14" s="3">
        <x:v>61152000</x:v>
      </x:c>
      <x:c r="E14" s="3">
        <x:v>72912000</x:v>
      </x:c>
    </x:row>
    <x:row r="15" ht="27" customHeight="1">
      <x:c r="A15" s="2" t="str">
        <x:v>Commercial/admin opex</x:v>
      </x:c>
      <x:c r="B15" s="3">
        <x:v>20160000</x:v>
      </x:c>
      <x:c r="C15" s="3">
        <x:v>23184000</x:v>
      </x:c>
      <x:c r="D15" s="3">
        <x:v>26208000</x:v>
      </x:c>
      <x:c r="E15" s="3">
        <x:v>31248000</x:v>
      </x:c>
    </x:row>
    <x:row r="16" ht="27" customHeight="1">
      <x:c r="A16" s="2" t="str">
        <x:v>Ending headcount</x:v>
      </x:c>
      <x:c r="B16" s="3">
        <x:v>560</x:v>
      </x:c>
      <x:c r="C16" s="3">
        <x:v>580</x:v>
      </x:c>
      <x:c r="D16" s="3">
        <x:v>600</x:v>
      </x:c>
      <x:c r="E16" s="3">
        <x:v>620</x:v>
      </x:c>
    </x:row>
    <x:row r="17" ht="27" customHeight="1"/>
    <x:row r="18" ht="27" customHeight="1"/>
    <x:row r="19" ht="27" customHeight="1"/>
    <x:row r="20" ht="27" customHeight="1"/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2">
    <x:mergeCell ref="A1:E2"/>
    <x:mergeCell ref="A3:E3"/>
  </x:mergeCells>
</x:worksheet>
</file>

<file path=xl/worksheets/sheet2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Operating economics | formula-linked actuals</x:v>
      </x:c>
    </x:row>
    <x:row r="2" ht="27" customHeight="1"/>
    <x:row r="3" ht="27" customHeight="1">
      <x:c r="B3" s="1" t="str">
        <x:v>Q1 2020</x:v>
      </x:c>
      <x:c r="C3" s="1" t="str">
        <x:v>Q2 2020</x:v>
      </x:c>
      <x:c r="D3" s="1" t="str">
        <x:v>Q3 2020</x:v>
      </x:c>
      <x:c r="E3" s="1" t="str">
        <x:v>Q4 2020</x:v>
      </x:c>
    </x:row>
    <x:row r="4" ht="27" customHeight="1">
      <x:c r="A4" s="1" t="str">
        <x:v>1 | Income reconciliation</x:v>
      </x:c>
    </x:row>
    <x:row r="5" ht="27" customHeight="1">
      <x:c r="A5" s="2" t="str">
        <x:v>Gross profit</x:v>
      </x:c>
      <x:c r="B5" s="4">
        <x:f>Inputs!B5-Inputs!B6</x:f>
        <x:v>129600000</x:v>
      </x:c>
      <x:c r="C5" s="4">
        <x:f>Inputs!C5-Inputs!C6</x:f>
        <x:v>149040000</x:v>
      </x:c>
      <x:c r="D5" s="4">
        <x:f>Inputs!D5-Inputs!D6</x:f>
        <x:v>168480000</x:v>
      </x:c>
      <x:c r="E5" s="4">
        <x:f>Inputs!E5-Inputs!E6</x:f>
        <x:v>200880000</x:v>
      </x:c>
    </x:row>
    <x:row r="6" ht="27" customHeight="1">
      <x:c r="A6" s="2" t="str">
        <x:v>Calculated operating income</x:v>
      </x:c>
      <x:c r="B6" s="4">
        <x:f>B5-Inputs!B7</x:f>
        <x:v>62400000</x:v>
      </x:c>
      <x:c r="C6" s="4">
        <x:f>C5-Inputs!C7</x:f>
        <x:v>71760000</x:v>
      </x:c>
      <x:c r="D6" s="4">
        <x:f>D5-Inputs!D7</x:f>
        <x:v>81120000</x:v>
      </x:c>
      <x:c r="E6" s="4">
        <x:f>E5-Inputs!E7</x:f>
        <x:v>96720000</x:v>
      </x:c>
    </x:row>
    <x:row r="7" ht="27" customHeight="1">
      <x:c r="A7" s="2" t="str">
        <x:v>Income reconciliation difference</x:v>
      </x:c>
      <x:c r="B7" s="4">
        <x:f>B6-Inputs!B8</x:f>
        <x:v>0</x:v>
      </x:c>
      <x:c r="C7" s="4">
        <x:f>C6-Inputs!C8</x:f>
        <x:v>0</x:v>
      </x:c>
      <x:c r="D7" s="4">
        <x:f>D6-Inputs!D8</x:f>
        <x:v>0</x:v>
      </x:c>
      <x:c r="E7" s="4">
        <x:f>E6-Inputs!E8</x:f>
        <x:v>0</x:v>
      </x:c>
    </x:row>
    <x:row r="8" ht="27" customHeight="1">
      <x:c r="A8" s="1" t="str">
        <x:v>2 | Margins</x:v>
      </x:c>
    </x:row>
    <x:row r="9" ht="27" customHeight="1">
      <x:c r="A9" s="2" t="str">
        <x:v>Gross margin (ratio)</x:v>
      </x:c>
      <x:c r="B9" s="4">
        <x:f>B5/Inputs!B5</x:f>
        <x:v>0.54</x:v>
      </x:c>
      <x:c r="C9" s="4">
        <x:f>C5/Inputs!C5</x:f>
        <x:v>0.54</x:v>
      </x:c>
      <x:c r="D9" s="4">
        <x:f>D5/Inputs!D5</x:f>
        <x:v>0.54</x:v>
      </x:c>
      <x:c r="E9" s="4">
        <x:f>E5/Inputs!E5</x:f>
        <x:v>0.54</x:v>
      </x:c>
    </x:row>
    <x:row r="10" ht="27" customHeight="1">
      <x:c r="A10" s="2" t="str">
        <x:v>Operating margin (ratio)</x:v>
      </x:c>
      <x:c r="B10" s="4">
        <x:f>B6/Inputs!B5</x:f>
        <x:v>0.26</x:v>
      </x:c>
      <x:c r="C10" s="4">
        <x:f>C6/Inputs!C5</x:f>
        <x:v>0.26</x:v>
      </x:c>
      <x:c r="D10" s="4">
        <x:f>D6/Inputs!D5</x:f>
        <x:v>0.26</x:v>
      </x:c>
      <x:c r="E10" s="4">
        <x:f>E6/Inputs!E5</x:f>
        <x:v>0.26</x:v>
      </x:c>
    </x:row>
    <x:row r="11" ht="27" customHeight="1">
      <x:c r="A11" s="1" t="str">
        <x:v>3 | Product mix</x:v>
      </x:c>
    </x:row>
    <x:row r="12" ht="27" customHeight="1">
      <x:c r="A12" s="2" t="str">
        <x:v>Combined product revenue</x:v>
      </x:c>
      <x:c r="B12" s="4">
        <x:f>Inputs!B9+Inputs!B10</x:f>
        <x:v>240000000</x:v>
      </x:c>
      <x:c r="C12" s="4">
        <x:f>Inputs!C9+Inputs!C10</x:f>
        <x:v>276000000</x:v>
      </x:c>
      <x:c r="D12" s="4">
        <x:f>Inputs!D9+Inputs!D10</x:f>
        <x:v>312000000</x:v>
      </x:c>
      <x:c r="E12" s="4">
        <x:f>Inputs!E9+Inputs!E10</x:f>
        <x:v>372000000</x:v>
      </x:c>
    </x:row>
    <x:row r="13" ht="27" customHeight="1">
      <x:c r="A13" s="2" t="str">
        <x:v>Revenue mix difference</x:v>
      </x:c>
      <x:c r="B13" s="4">
        <x:f>B12-Inputs!B5</x:f>
        <x:v>0</x:v>
      </x:c>
      <x:c r="C13" s="4">
        <x:f>C12-Inputs!C5</x:f>
        <x:v>0</x:v>
      </x:c>
      <x:c r="D13" s="4">
        <x:f>D12-Inputs!D5</x:f>
        <x:v>0</x:v>
      </x:c>
      <x:c r="E13" s="4">
        <x:f>E12-Inputs!E5</x:f>
        <x:v>0</x:v>
      </x:c>
    </x:row>
    <x:row r="14" ht="27" customHeight="1">
      <x:c r="A14" s="2" t="str">
        <x:v>SunCore share (ratio)</x:v>
      </x:c>
      <x:c r="B14" s="4">
        <x:f>Inputs!B9/Inputs!B5</x:f>
        <x:v>0.6</x:v>
      </x:c>
      <x:c r="C14" s="4">
        <x:f>Inputs!C9/Inputs!C5</x:f>
        <x:v>0.6</x:v>
      </x:c>
      <x:c r="D14" s="4">
        <x:f>Inputs!D9/Inputs!D5</x:f>
        <x:v>0.6</x:v>
      </x:c>
      <x:c r="E14" s="4">
        <x:f>Inputs!E9/Inputs!E5</x:f>
        <x:v>0.6</x:v>
      </x:c>
    </x:row>
    <x:row r="15" ht="27" customHeight="1">
      <x:c r="A15" s="1" t="str">
        <x:v>4 | Manufacturing costs</x:v>
      </x:c>
    </x:row>
    <x:row r="16" ht="27" customHeight="1">
      <x:c r="A16" s="2" t="str">
        <x:v>Combined manufacturing costs</x:v>
      </x:c>
      <x:c r="B16" s="4">
        <x:f>Inputs!B11+Inputs!B12+Inputs!B13</x:f>
        <x:v>110400000</x:v>
      </x:c>
      <x:c r="C16" s="4">
        <x:f>Inputs!C11+Inputs!C12+Inputs!C13</x:f>
        <x:v>126960000</x:v>
      </x:c>
      <x:c r="D16" s="4">
        <x:f>Inputs!D11+Inputs!D12+Inputs!D13</x:f>
        <x:v>143520000</x:v>
      </x:c>
      <x:c r="E16" s="4">
        <x:f>Inputs!E11+Inputs!E12+Inputs!E13</x:f>
        <x:v>171120000</x:v>
      </x:c>
    </x:row>
    <x:row r="17" ht="27" customHeight="1">
      <x:c r="A17" s="2" t="str">
        <x:v>Manufacturing cost difference</x:v>
      </x:c>
      <x:c r="B17" s="4">
        <x:f>B16-Inputs!B6</x:f>
        <x:v>0</x:v>
      </x:c>
      <x:c r="C17" s="4">
        <x:f>C16-Inputs!C6</x:f>
        <x:v>0</x:v>
      </x:c>
      <x:c r="D17" s="4">
        <x:f>D16-Inputs!D6</x:f>
        <x:v>0</x:v>
      </x:c>
      <x:c r="E17" s="4">
        <x:f>E16-Inputs!E6</x:f>
        <x:v>0</x:v>
      </x:c>
    </x:row>
    <x:row r="18" ht="27" customHeight="1">
      <x:c r="A18" s="2" t="str">
        <x:v>Wafer share (ratio)</x:v>
      </x:c>
      <x:c r="B18" s="4">
        <x:f>Inputs!B11/Inputs!B6</x:f>
        <x:v>0.65</x:v>
      </x:c>
      <x:c r="C18" s="4">
        <x:f>Inputs!C11/Inputs!C6</x:f>
        <x:v>0.65</x:v>
      </x:c>
      <x:c r="D18" s="4">
        <x:f>Inputs!D11/Inputs!D6</x:f>
        <x:v>0.65</x:v>
      </x:c>
      <x:c r="E18" s="4">
        <x:f>Inputs!E11/Inputs!E6</x:f>
        <x:v>0.65</x:v>
      </x:c>
    </x:row>
    <x:row r="19" ht="27" customHeight="1">
      <x:c r="A19" s="1" t="str">
        <x:v>5 | Operating investment</x:v>
      </x:c>
    </x:row>
    <x:row r="20" ht="27" customHeight="1">
      <x:c r="A20" s="2" t="str">
        <x:v>Combined operating expenses</x:v>
      </x:c>
      <x:c r="B20" s="4">
        <x:f>Inputs!B14+Inputs!B15</x:f>
        <x:v>67200000</x:v>
      </x:c>
      <x:c r="C20" s="4">
        <x:f>Inputs!C14+Inputs!C15</x:f>
        <x:v>77280000</x:v>
      </x:c>
      <x:c r="D20" s="4">
        <x:f>Inputs!D14+Inputs!D15</x:f>
        <x:v>87360000</x:v>
      </x:c>
      <x:c r="E20" s="4">
        <x:f>Inputs!E14+Inputs!E15</x:f>
        <x:v>104160000</x:v>
      </x:c>
    </x:row>
    <x:row r="21" ht="27" customHeight="1">
      <x:c r="A21" s="2" t="str">
        <x:v>Opex difference</x:v>
      </x:c>
      <x:c r="B21" s="4">
        <x:f>B20-Inputs!B7</x:f>
        <x:v>0</x:v>
      </x:c>
      <x:c r="C21" s="4">
        <x:f>C20-Inputs!C7</x:f>
        <x:v>0</x:v>
      </x:c>
      <x:c r="D21" s="4">
        <x:f>D20-Inputs!D7</x:f>
        <x:v>0</x:v>
      </x:c>
      <x:c r="E21" s="4">
        <x:f>E20-Inputs!E7</x:f>
        <x:v>0</x:v>
      </x:c>
    </x:row>
    <x:row r="22" ht="27" customHeight="1">
      <x:c r="A22" s="2" t="str">
        <x:v>Engineering share (ratio)</x:v>
      </x:c>
      <x:c r="B22" s="4">
        <x:f>Inputs!B14/Inputs!B7</x:f>
        <x:v>0.7</x:v>
      </x:c>
      <x:c r="C22" s="4">
        <x:f>Inputs!C14/Inputs!C7</x:f>
        <x:v>0.7</x:v>
      </x:c>
      <x:c r="D22" s="4">
        <x:f>Inputs!D14/Inputs!D7</x:f>
        <x:v>0.7</x:v>
      </x:c>
      <x:c r="E22" s="4">
        <x:f>Inputs!E14/Inputs!E7</x:f>
        <x:v>0.7</x:v>
      </x:c>
    </x:row>
    <x:row r="23" ht="27" customHeight="1">
      <x:c r="A23" s="1" t="str">
        <x:v>6 | Sequential actuals</x:v>
      </x:c>
    </x:row>
    <x:row r="24" ht="27" customHeight="1">
      <x:c r="A24" s="2" t="str">
        <x:v>Revenue change vs prior quarter</x:v>
      </x:c>
      <x:c r="B24" s="2" t="str">
        <x:v>No prior quarter in scope</x:v>
      </x:c>
      <x:c r="C24" s="4">
        <x:f>Inputs!C5-Inputs!B5</x:f>
        <x:v>36000000</x:v>
      </x:c>
      <x:c r="D24" s="4">
        <x:f>Inputs!D5-Inputs!C5</x:f>
        <x:v>36000000</x:v>
      </x:c>
      <x:c r="E24" s="4">
        <x:f>Inputs!E5-Inputs!D5</x:f>
        <x:v>60000000</x:v>
      </x:c>
    </x:row>
    <x:row r="25" ht="27" customHeight="1">
      <x:c r="A25" s="2" t="str">
        <x:v>Operating-income change</x:v>
      </x:c>
      <x:c r="B25" s="2" t="str">
        <x:v>No prior quarter in scope</x:v>
      </x:c>
      <x:c r="C25" s="4">
        <x:f>Inputs!C8-Inputs!B8</x:f>
        <x:v>9360000</x:v>
      </x:c>
      <x:c r="D25" s="4">
        <x:f>Inputs!D8-Inputs!C8</x:f>
        <x:v>9360000</x:v>
      </x:c>
      <x:c r="E25" s="4">
        <x:f>Inputs!E8-Inputs!D8</x:f>
        <x:v>15600000</x:v>
      </x:c>
    </x:row>
    <x:row r="26" ht="27" customHeight="1">
      <x:c r="A26" s="2" t="str">
        <x:v>Ending headcount change</x:v>
      </x:c>
      <x:c r="B26" s="2" t="str">
        <x:v>No prior quarter in scope</x:v>
      </x:c>
      <x:c r="C26" s="4">
        <x:f>Inputs!C16-Inputs!B16</x:f>
        <x:v>20</x:v>
      </x:c>
      <x:c r="D26" s="4">
        <x:f>Inputs!D16-Inputs!C16</x:f>
        <x:v>20</x:v>
      </x:c>
      <x:c r="E26" s="4">
        <x:f>Inputs!E16-Inputs!D16</x:f>
        <x:v>20</x:v>
      </x:c>
    </x:row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1">
    <x:mergeCell ref="A1:E2"/>
  </x:mergeCells>
</x:worksheet>
</file>

<file path=xl/worksheets/sheet3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Management view | available-period actuals</x:v>
      </x:c>
    </x:row>
    <x:row r="2" ht="27" customHeight="1"/>
    <x:row r="3" ht="27" customHeight="1"/>
    <x:row r="4" ht="27" customHeight="1">
      <x:c r="A4" s="2" t="str">
        <x:v>Recognized revenue</x:v>
      </x:c>
      <x:c r="B4" s="4">
        <x:f>Inputs!B5+Inputs!C5+Inputs!D5+Inputs!E5</x:f>
        <x:v>1200000000</x:v>
      </x:c>
    </x:row>
    <x:row r="5" ht="27" customHeight="1">
      <x:c r="A5" s="2" t="str">
        <x:v>COGS</x:v>
      </x:c>
      <x:c r="B5" s="4">
        <x:f>Inputs!B6+Inputs!C6+Inputs!D6+Inputs!E6</x:f>
        <x:v>552000000</x:v>
      </x:c>
    </x:row>
    <x:row r="6" ht="27" customHeight="1">
      <x:c r="A6" s="2" t="str">
        <x:v>Operating expense</x:v>
      </x:c>
      <x:c r="B6" s="4">
        <x:f>Inputs!B7+Inputs!C7+Inputs!D7+Inputs!E7</x:f>
        <x:v>336000000</x:v>
      </x:c>
    </x:row>
    <x:row r="7" ht="27" customHeight="1">
      <x:c r="A7" s="2" t="str">
        <x:v>Operating income</x:v>
      </x:c>
      <x:c r="B7" s="4">
        <x:f>Inputs!B8+Inputs!C8+Inputs!D8+Inputs!E8</x:f>
        <x:v>312000000</x:v>
      </x:c>
    </x:row>
    <x:row r="8" ht="27" customHeight="1">
      <x:c r="A8" s="2" t="str">
        <x:v>SunCore revenue</x:v>
      </x:c>
      <x:c r="B8" s="4">
        <x:f>Inputs!B9+Inputs!C9+Inputs!D9+Inputs!E9</x:f>
        <x:v>720000000</x:v>
      </x:c>
    </x:row>
    <x:row r="9" ht="27" customHeight="1">
      <x:c r="A9" s="2" t="str">
        <x:v>GulfSwitch revenue</x:v>
      </x:c>
      <x:c r="B9" s="4">
        <x:f>Inputs!B10+Inputs!C10+Inputs!D10+Inputs!E10</x:f>
        <x:v>480000000</x:v>
      </x:c>
    </x:row>
    <x:row r="10" ht="27" customHeight="1"/>
    <x:row r="11" ht="27" customHeight="1">
      <x:c r="A11" s="2" t="str">
        <x:v>Operating margin (ratio)</x:v>
      </x:c>
      <x:c r="B11" s="4">
        <x:f>B7/B4</x:f>
        <x:v>0.26</x:v>
      </x:c>
    </x:row>
    <x:row r="12" ht="27" customHeight="1"/>
    <x:row r="13" ht="27" customHeight="1"/>
    <x:row r="14" ht="42" customHeight="1">
      <x:c r="A14" s="2" t="str">
        <x:v>Income</x:v>
      </x:c>
      <x:c r="B14" s="2" t="str">
        <x:v>Reconciliation differences on Calc must be zero; investigate any divergence.</x:v>
      </x:c>
    </x:row>
    <x:row r="15" ht="42" customHeight="1">
      <x:c r="A15" s="2" t="str">
        <x:v>Margins</x:v>
      </x:c>
      <x:c r="B15" s="2" t="str">
        <x:v>Gross margin excludes operating expense; operating margin includes it.</x:v>
      </x:c>
    </x:row>
    <x:row r="16" ht="42" customHeight="1">
      <x:c r="A16" s="2" t="str">
        <x:v>Product mix</x:v>
      </x:c>
      <x:c r="B16" s="2" t="str">
        <x:v>Product totals reconcile to revenue; a mix shift is not a customer-count measure.</x:v>
      </x:c>
    </x:row>
    <x:row r="17" ht="42" customHeight="1">
      <x:c r="A17" s="2" t="str">
        <x:v>Manufacturing</x:v>
      </x:c>
      <x:c r="B17" s="2" t="str">
        <x:v>Wafer, package/test and logistics are separate cost drivers; do not double count.</x:v>
      </x:c>
    </x:row>
    <x:row r="18" ht="42" customHeight="1">
      <x:c r="A18" s="2" t="str">
        <x:v>Investment</x:v>
      </x:c>
      <x:c r="B18" s="2" t="str">
        <x:v>Engineering is an operating expense here, not a capital expenditure or cash-flow proxy.</x:v>
      </x:c>
    </x:row>
    <x:row r="19" ht="42" customHeight="1">
      <x:c r="A19" s="2" t="str">
        <x:v>Trend</x:v>
      </x:c>
      <x:c r="B19" s="2" t="str">
        <x:v>Sequential changes are absolute movements, not forecasts or annualized growth rates.</x:v>
      </x:c>
    </x:row>
    <x:row r="20" ht="27" customHeight="1">
      <x:c r="E20" s="2" t="str">
        <x:v>USD basis</x:v>
      </x:c>
    </x:row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7">
    <x:mergeCell ref="A1:E2"/>
    <x:mergeCell ref="B14:E14"/>
    <x:mergeCell ref="B15:E15"/>
    <x:mergeCell ref="B16:E16"/>
    <x:mergeCell ref="B17:E17"/>
    <x:mergeCell ref="B18:E18"/>
    <x:mergeCell ref="B19:E19"/>
  </x:mergeCells>
</x:worksheet>
</file>

<file path=xl/worksheets/sheet4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Sources, methodology and limitations</x:v>
      </x:c>
    </x:row>
    <x:row r="2" ht="27" customHeight="1"/>
    <x:row r="3" ht="27" customHeight="1"/>
    <x:row r="4" ht="48" customHeight="1">
      <x:c r="A4" s="2" t="str">
        <x:v>Basis</x:v>
      </x:c>
      <x:c r="B4" s="2" t="str">
        <x:v>USD; calendar fiscal years; recognized revenue, not bookings; operating income excludes no additional adjustments and is not net income or cash flow.</x:v>
      </x:c>
    </x:row>
    <x:row r="5" ht="48" customHeight="1">
      <x:c r="A5" s="2" t="str">
        <x:v>Operating emphasis</x:v>
      </x:c>
      <x:c r="B5" s="2" t="str">
        <x:v>Launch discipline</x:v>
      </x:c>
    </x:row>
    <x:row r="6" ht="48" customHeight="1">
      <x:c r="A6" s="2" t="str">
        <x:v>Risk</x:v>
      </x:c>
      <x:c r="B6" s="2" t="str">
        <x:v>a single qualified substrate route</x:v>
      </x:c>
    </x:row>
    <x:row r="7" ht="48" customHeight="1">
      <x:c r="A7" s="2" t="str">
        <x:v>Mitigation</x:v>
      </x:c>
      <x:c r="B7" s="2" t="str">
        <x:v>qualify a second substrate route before increasing release allocations</x:v>
      </x:c>
    </x:row>
    <x:row r="8" ht="48" customHeight="1">
      <x:c r="A8" s="2" t="str">
        <x:v>Strategy</x:v>
      </x:c>
      <x:c r="B8" s="2" t="str">
        <x:v>Own differentiated silicon architecture and application validation; use external manufacturing rather than build a wafer fab.</x:v>
      </x:c>
    </x:row>
    <x:row r="9" ht="48" customHeight="1">
      <x:c r="A9" s="2" t="str">
        <x:v>Liquidity</x:v>
      </x:c>
      <x:c r="B9" s="2" t="str">
        <x:v>No cash balance, debt balance, free-cash-flow measure or forecast is included.</x:v>
      </x:c>
    </x:row>
    <x:row r="10" ht="48" customHeight="1">
      <x:c r="A10" s="2" t="str">
        <x:v>Availability</x:v>
      </x:c>
      <x:c r="B10" s="2" t="str">
        <x:v>Only quarters knowable on the publication date are included.</x:v>
      </x:c>
    </x:row>
    <x:row r="11" ht="48" customHeight="1">
      <x:c r="A11" s="2" t="str">
        <x:v>Formula controls</x:v>
      </x:c>
      <x:c r="B11" s="2" t="str">
        <x:v>Inputs precede formulas; saved formula values are checked after reopening.</x:v>
      </x:c>
    </x:row>
    <x:row r="12" ht="48" customHeight="1">
      <x:c r="A12" s="2" t="str">
        <x:v>Color convention</x:v>
      </x:c>
      <x:c r="B12" s="2" t="str">
        <x:v>Blue numbers are source inputs. Green numbers are formula-linked outputs.</x:v>
      </x:c>
    </x:row>
    <x:row r="13" ht="48" customHeight="1">
      <x:c r="A13" s="2" t="str">
        <x:v>Scope</x:v>
      </x:c>
      <x:c r="B13" s="2" t="str">
        <x:v>This is an operating-economics workbook, not a balance sheet or cash-flow model.</x:v>
      </x:c>
    </x:row>
    <x:row r="14" ht="27" customHeight="1">
      <x:c r="E14" s="2" t="str">
        <x:v>End of notes</x:v>
      </x:c>
    </x:row>
    <x:row r="15" ht="27" customHeight="1"/>
    <x:row r="16" ht="27" customHeight="1"/>
    <x:row r="17" ht="27" customHeight="1"/>
    <x:row r="18" ht="27" customHeight="1"/>
    <x:row r="19" ht="27" customHeight="1"/>
    <x:row r="20" ht="27" customHeight="1"/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11">
    <x:mergeCell ref="A1:E2"/>
    <x:mergeCell ref="B4:E4"/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</x:mergeCells>
</x:worksheet>
</file>

<file path=docProps/app.xml><?xml version="1.0" encoding="utf-8"?>
<ap:Properties xmlns:ap="http://schemas.openxmlformats.org/officeDocument/2006/extended-properties">
  <ap:Application>OfficeCLI/1.0.157</ap:Applicat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SunnySemi LLC</dc:creator>
  <dcterms:created xsi:type="dcterms:W3CDTF">2026-10-15T17:18:28.0000000Z</dcterms:created>
  <lastModifiedBy>OfficeCLI</lastModifiedBy>
  <dcterms:modified xsi:type="dcterms:W3CDTF">2026-10-15T17:18:28.0000000Z</dcterms:modified>
  <dc:title>SunnySemi LLC - FY 2020 Operating Economics</dc:title>
</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1.0.157</vt:lpwstr>
  </op:property>
  <op:property fmtid="{D5CDD505-2E9C-101B-9397-08002B2CF9AE}" pid="3" name="OfficeCLI.LastModified">
    <vt:lpwstr xmlns:vt="http://schemas.openxmlformats.org/officeDocument/2006/docPropsVTypes">2026-10-15T17:18:31Z</vt:lpwstr>
  </op:property>
</op:Properties>
</file>