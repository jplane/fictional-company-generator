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c0d5678464631" /><Relationship Type="http://schemas.openxmlformats.org/package/2006/relationships/metadata/core-properties" Target="/docProps/core.xml" Id="Rde22236b700b4115" /><Relationship Type="http://schemas.openxmlformats.org/officeDocument/2006/relationships/extended-properties" Target="/docProps/app.xml" Id="R6e9079cbf65b4c20" /><Relationship Type="http://schemas.openxmlformats.org/officeDocument/2006/relationships/custom-properties" Target="/docProps/custom.xml" Id="R7c6bab86a145434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03964847db1e4fe1"/>
    <x:sheet name="Summary" sheetId="3" r:id="R562d28f5fde048ee"/>
    <x:sheet name="Notes" sheetId="4" r:id="R9bde8c3a37b14969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05b8a140ba084f42" /><Relationship Type="http://schemas.openxmlformats.org/officeDocument/2006/relationships/styles" Target="/xl/styles.xml" Id="R7e55470645ae4214" /><Relationship Type="http://schemas.openxmlformats.org/officeDocument/2006/relationships/worksheet" Target="/xl/worksheets/sheet2.xml" Id="R03964847db1e4fe1" /><Relationship Type="http://schemas.openxmlformats.org/officeDocument/2006/relationships/worksheet" Target="/xl/worksheets/sheet3.xml" Id="R562d28f5fde048ee" /><Relationship Type="http://schemas.openxmlformats.org/officeDocument/2006/relationships/worksheet" Target="/xl/worksheets/sheet4.xml" Id="R9bde8c3a37b149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H1 2025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2025</x:v>
      </x:c>
      <x:c r="C4" s="1" t="str">
        <x:v>Q2 2025</x:v>
      </x:c>
    </x:row>
    <x:row r="5" ht="27" customHeight="1">
      <x:c r="A5" s="2" t="str">
        <x:v>Recognized revenue</x:v>
      </x:c>
      <x:c r="B5" s="3">
        <x:v>4600000000</x:v>
      </x:c>
      <x:c r="C5" s="3">
        <x:v>5290000000</x:v>
      </x:c>
    </x:row>
    <x:row r="6" ht="27" customHeight="1">
      <x:c r="A6" s="2" t="str">
        <x:v>Cost of goods sold</x:v>
      </x:c>
      <x:c r="B6" s="3">
        <x:v>1656000000</x:v>
      </x:c>
      <x:c r="C6" s="3">
        <x:v>1904400000</x:v>
      </x:c>
    </x:row>
    <x:row r="7" ht="27" customHeight="1">
      <x:c r="A7" s="2" t="str">
        <x:v>Operating expense</x:v>
      </x:c>
      <x:c r="B7" s="3">
        <x:v>1058000000</x:v>
      </x:c>
      <x:c r="C7" s="3">
        <x:v>1216700000</x:v>
      </x:c>
    </x:row>
    <x:row r="8" ht="27" customHeight="1">
      <x:c r="A8" s="2" t="str">
        <x:v>Operating income</x:v>
      </x:c>
      <x:c r="B8" s="3">
        <x:v>1886000000</x:v>
      </x:c>
      <x:c r="C8" s="3">
        <x:v>2168900000</x:v>
      </x:c>
    </x:row>
    <x:row r="9" ht="27" customHeight="1">
      <x:c r="A9" s="2" t="str">
        <x:v>SunCore revenue</x:v>
      </x:c>
      <x:c r="B9" s="3">
        <x:v>3220000000</x:v>
      </x:c>
      <x:c r="C9" s="3">
        <x:v>3703000000</x:v>
      </x:c>
    </x:row>
    <x:row r="10" ht="27" customHeight="1">
      <x:c r="A10" s="2" t="str">
        <x:v>GulfSwitch revenue</x:v>
      </x:c>
      <x:c r="B10" s="3">
        <x:v>1380000000</x:v>
      </x:c>
      <x:c r="C10" s="3">
        <x:v>1587000000</x:v>
      </x:c>
    </x:row>
    <x:row r="11" ht="27" customHeight="1">
      <x:c r="A11" s="2" t="str">
        <x:v>Wafer cost</x:v>
      </x:c>
      <x:c r="B11" s="3">
        <x:v>1076400000</x:v>
      </x:c>
      <x:c r="C11" s="3">
        <x:v>1237860000</x:v>
      </x:c>
    </x:row>
    <x:row r="12" ht="27" customHeight="1">
      <x:c r="A12" s="2" t="str">
        <x:v>Package and test cost</x:v>
      </x:c>
      <x:c r="B12" s="3">
        <x:v>414000000</x:v>
      </x:c>
      <x:c r="C12" s="3">
        <x:v>476100000</x:v>
      </x:c>
    </x:row>
    <x:row r="13" ht="27" customHeight="1">
      <x:c r="A13" s="2" t="str">
        <x:v>Logistics cost</x:v>
      </x:c>
      <x:c r="B13" s="3">
        <x:v>165600000</x:v>
      </x:c>
      <x:c r="C13" s="3">
        <x:v>190440000</x:v>
      </x:c>
    </x:row>
    <x:row r="14" ht="27" customHeight="1">
      <x:c r="A14" s="2" t="str">
        <x:v>Engineering opex</x:v>
      </x:c>
      <x:c r="B14" s="3">
        <x:v>740600000</x:v>
      </x:c>
      <x:c r="C14" s="3">
        <x:v>851690000</x:v>
      </x:c>
    </x:row>
    <x:row r="15" ht="27" customHeight="1">
      <x:c r="A15" s="2" t="str">
        <x:v>Commercial/admin opex</x:v>
      </x:c>
      <x:c r="B15" s="3">
        <x:v>317400000</x:v>
      </x:c>
      <x:c r="C15" s="3">
        <x:v>365010000</x:v>
      </x:c>
    </x:row>
    <x:row r="16" ht="27" customHeight="1">
      <x:c r="A16" s="2" t="str">
        <x:v>Ending headcount</x:v>
      </x:c>
      <x:c r="B16" s="3">
        <x:v>4990</x:v>
      </x:c>
      <x:c r="C16" s="3">
        <x:v>5060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2025</x:v>
      </x:c>
      <x:c r="C3" s="1" t="str">
        <x:v>Q2 2025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2944000000</x:v>
      </x:c>
      <x:c r="C5" s="4">
        <x:f>Inputs!C5-Inputs!C6</x:f>
        <x:v>3385600000</x:v>
      </x:c>
    </x:row>
    <x:row r="6" ht="27" customHeight="1">
      <x:c r="A6" s="2" t="str">
        <x:v>Calculated operating income</x:v>
      </x:c>
      <x:c r="B6" s="4">
        <x:f>B5-Inputs!B7</x:f>
        <x:v>1886000000</x:v>
      </x:c>
      <x:c r="C6" s="4">
        <x:f>C5-Inputs!C7</x:f>
        <x:v>2168900000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0.64</x:v>
      </x:c>
      <x:c r="C9" s="4">
        <x:f>C5/Inputs!C5</x:f>
        <x:v>0.64</x:v>
      </x:c>
    </x:row>
    <x:row r="10" ht="27" customHeight="1">
      <x:c r="A10" s="2" t="str">
        <x:v>Operating margin (ratio)</x:v>
      </x:c>
      <x:c r="B10" s="4">
        <x:f>B6/Inputs!B5</x:f>
        <x:v>0.41</x:v>
      </x:c>
      <x:c r="C10" s="4">
        <x:f>C6/Inputs!C5</x:f>
        <x:v>0.41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4600000000</x:v>
      </x:c>
      <x:c r="C12" s="4">
        <x:f>Inputs!C9+Inputs!C10</x:f>
        <x:v>5290000000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</x:row>
    <x:row r="14" ht="27" customHeight="1">
      <x:c r="A14" s="2" t="str">
        <x:v>SunCore share (ratio)</x:v>
      </x:c>
      <x:c r="B14" s="4">
        <x:f>Inputs!B9/Inputs!B5</x:f>
        <x:v>0.7</x:v>
      </x:c>
      <x:c r="C14" s="4">
        <x:f>Inputs!C9/Inputs!C5</x:f>
        <x:v>0.7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1656000000</x:v>
      </x:c>
      <x:c r="C16" s="4">
        <x:f>Inputs!C11+Inputs!C12+Inputs!C13</x:f>
        <x:v>1904400000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1058000000</x:v>
      </x:c>
      <x:c r="C20" s="4">
        <x:f>Inputs!C14+Inputs!C15</x:f>
        <x:v>1216700000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690000000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282900000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70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</x:f>
        <x:v>9890000000</x:v>
      </x:c>
    </x:row>
    <x:row r="5" ht="27" customHeight="1">
      <x:c r="A5" s="2" t="str">
        <x:v>COGS</x:v>
      </x:c>
      <x:c r="B5" s="4">
        <x:f>Inputs!B6+Inputs!C6</x:f>
        <x:v>3560400000</x:v>
      </x:c>
    </x:row>
    <x:row r="6" ht="27" customHeight="1">
      <x:c r="A6" s="2" t="str">
        <x:v>Operating expense</x:v>
      </x:c>
      <x:c r="B6" s="4">
        <x:f>Inputs!B7+Inputs!C7</x:f>
        <x:v>2274700000</x:v>
      </x:c>
    </x:row>
    <x:row r="7" ht="27" customHeight="1">
      <x:c r="A7" s="2" t="str">
        <x:v>Operating income</x:v>
      </x:c>
      <x:c r="B7" s="4">
        <x:f>Inputs!B8+Inputs!C8</x:f>
        <x:v>4054900000</x:v>
      </x:c>
    </x:row>
    <x:row r="8" ht="27" customHeight="1">
      <x:c r="A8" s="2" t="str">
        <x:v>SunCore revenue</x:v>
      </x:c>
      <x:c r="B8" s="4">
        <x:f>Inputs!B9+Inputs!C9</x:f>
        <x:v>6923000000</x:v>
      </x:c>
    </x:row>
    <x:row r="9" ht="27" customHeight="1">
      <x:c r="A9" s="2" t="str">
        <x:v>GulfSwitch revenue</x:v>
      </x:c>
      <x:c r="B9" s="4">
        <x:f>Inputs!B10+Inputs!C10</x:f>
        <x:v>2967000000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0.41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Profitable scale</x:v>
      </x:c>
    </x:row>
    <x:row r="6" ht="48" customHeight="1">
      <x:c r="A6" s="2" t="str">
        <x:v>Risk</x:v>
      </x:c>
      <x:c r="B6" s="2" t="str">
        <x:v>working-capital exposure from accelerated production commitments</x:v>
      </x:c>
    </x:row>
    <x:row r="7" ht="48" customHeight="1">
      <x:c r="A7" s="2" t="str">
        <x:v>Mitigation</x:v>
      </x:c>
      <x:c r="B7" s="2" t="str">
        <x:v>stage capacity commitments against qualification and accepted schedules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2026-10-15T17:21:03.0000000Z</dcterms:created>
  <lastModifiedBy>OfficeCLI</lastModifiedBy>
  <dcterms:modified xsi:type="dcterms:W3CDTF">2026-10-15T17:21:03.0000000Z</dcterms:modified>
  <dc:title>SunnySemi LLC - H1 2025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2026-10-15T17:21:07Z</vt:lpwstr>
  </op:property>
</op:Properties>
</file>